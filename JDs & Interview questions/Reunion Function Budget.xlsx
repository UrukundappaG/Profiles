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SC\Budget\"/>
    </mc:Choice>
  </mc:AlternateContent>
  <xr:revisionPtr revIDLastSave="0" documentId="13_ncr:1_{222F2D07-7F12-44BD-9DA5-D66FEC4C46E5}" xr6:coauthVersionLast="47" xr6:coauthVersionMax="47" xr10:uidLastSave="{00000000-0000-0000-0000-000000000000}"/>
  <bookViews>
    <workbookView xWindow="-108" yWindow="-108" windowWidth="23256" windowHeight="12456" xr2:uid="{A78B2287-376D-4BE1-8204-D542E8770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27" i="1"/>
  <c r="B28" i="1"/>
  <c r="B31" i="1" l="1"/>
  <c r="B6" i="1"/>
  <c r="B5" i="1"/>
  <c r="B4" i="1"/>
  <c r="B22" i="1" l="1"/>
  <c r="B33" i="1" s="1"/>
</calcChain>
</file>

<file path=xl/sharedStrings.xml><?xml version="1.0" encoding="utf-8"?>
<sst xmlns="http://schemas.openxmlformats.org/spreadsheetml/2006/main" count="37" uniqueCount="32">
  <si>
    <t>Contingency</t>
  </si>
  <si>
    <t>Total</t>
  </si>
  <si>
    <t>1st Day Budget of Get Together</t>
  </si>
  <si>
    <t>1st day breakfast for 120 persons @ Rs.80/- each</t>
  </si>
  <si>
    <t>Amount</t>
  </si>
  <si>
    <t>Remarks</t>
  </si>
  <si>
    <t>Renukamba Catering</t>
  </si>
  <si>
    <t>1st day lunch for 150 persons @ Rs.200/- each</t>
  </si>
  <si>
    <t>1st day Evening Snacks for 120 persons @ Rs.60/- each</t>
  </si>
  <si>
    <t>Auto Charge, Cleaning &amp; Catering</t>
  </si>
  <si>
    <t>2nd Day Budget of Get Together</t>
  </si>
  <si>
    <t>Total for 1st &amp; 2nd Days</t>
  </si>
  <si>
    <t>Alur Raghu</t>
  </si>
  <si>
    <t>Rooms to be paid from Collection Account</t>
  </si>
  <si>
    <t>Usable School Items as Gifts for Competitions - 10 Games</t>
  </si>
  <si>
    <t>Group Photos + 80 Frames of Group Photos</t>
  </si>
  <si>
    <t xml:space="preserve">Bujji, Kurnool </t>
  </si>
  <si>
    <t>Rose Flower Metals</t>
  </si>
  <si>
    <t>1 TATA Sumos</t>
  </si>
  <si>
    <t>Shamiyanas, Air Coolers, Dust Bins, Tables, Table Paper Rolls, Hand Washs &amp; Chairs</t>
  </si>
  <si>
    <t>Function Hall, Stage, Basic Decoration, Entire Food till evening with 18% GST</t>
  </si>
  <si>
    <t>Chocolate Boxes &amp; Other Children Eating &amp; Playing Material</t>
  </si>
  <si>
    <t>Drinking Water Bottles - 250 ml - 1000 Pieces</t>
  </si>
  <si>
    <t>Bouquets - 15 No.</t>
  </si>
  <si>
    <t>Banner Printing ( 1 Grand + 2 Normal) &amp; Invitation Cards 20 No.s</t>
  </si>
  <si>
    <t>Miscellanious Items</t>
  </si>
  <si>
    <t>Shawls - 20 No.s - Partly Source from Abroad Classmates</t>
  </si>
  <si>
    <t>Garlands - 20 No.s - Partly Source from Abroad Classmates</t>
  </si>
  <si>
    <t>Dry Fruit Boxes - 20 No.s - Partly Source from Abroad Classmates</t>
  </si>
  <si>
    <t>Proposed Sapplings for Plantation in College Premises - Partly Source from Abroad Classmates</t>
  </si>
  <si>
    <t>Proposed Financial Help to families of Late Classmates - Partly Source from Abroad Classmates</t>
  </si>
  <si>
    <t>Contingency for first day. (24th Dinner of 10 Families at Vimala Regency Provision)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</si>
</sst>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1790-023E-487D-AB46-EB7FF14BDE03}">
  <dimension ref="A1:F33"/>
  <sheetViews>
    <sheetView tabSelected="1" topLeftCell="A19" zoomScale="124" workbookViewId="0">
      <selection activeCell="A23" sqref="A23"/>
    </sheetView>
  </sheetViews>
  <sheetFormatPr defaultRowHeight="14.4" x14ac:dyDescent="0.3"/>
  <cols>
    <col min="1" max="1" width="80.33203125" style="1" bestFit="1" customWidth="1"/>
    <col min="2" max="2" width="8.88671875" style="1"/>
    <col min="3" max="3" width="24.5546875" style="1" bestFit="1" customWidth="1"/>
    <col min="4" max="16384" width="8.88671875" style="1"/>
  </cols>
  <sheetData>
    <row r="1" spans="1:6" x14ac:dyDescent="0.3">
      <c r="A1" s="8" t="s">
        <v>2</v>
      </c>
      <c r="B1" s="2"/>
      <c r="C1" s="2"/>
    </row>
    <row r="2" spans="1:6" x14ac:dyDescent="0.3">
      <c r="A2" s="8"/>
      <c r="B2" s="8" t="s">
        <v>4</v>
      </c>
      <c r="C2" s="7" t="s">
        <v>5</v>
      </c>
    </row>
    <row r="3" spans="1:6" x14ac:dyDescent="0.3">
      <c r="A3" s="2"/>
      <c r="B3" s="2"/>
      <c r="C3" s="2"/>
    </row>
    <row r="4" spans="1:6" x14ac:dyDescent="0.3">
      <c r="A4" s="2" t="s">
        <v>3</v>
      </c>
      <c r="B4" s="3">
        <f>120*80</f>
        <v>9600</v>
      </c>
      <c r="C4" s="9" t="s">
        <v>6</v>
      </c>
    </row>
    <row r="5" spans="1:6" x14ac:dyDescent="0.3">
      <c r="A5" s="2" t="s">
        <v>7</v>
      </c>
      <c r="B5" s="3">
        <f>150*200</f>
        <v>30000</v>
      </c>
      <c r="C5" s="2" t="s">
        <v>6</v>
      </c>
      <c r="E5" s="4"/>
    </row>
    <row r="6" spans="1:6" x14ac:dyDescent="0.3">
      <c r="A6" s="2" t="s">
        <v>8</v>
      </c>
      <c r="B6" s="3">
        <f>120*60</f>
        <v>7200</v>
      </c>
      <c r="C6" s="2" t="s">
        <v>6</v>
      </c>
    </row>
    <row r="7" spans="1:6" x14ac:dyDescent="0.3">
      <c r="A7" s="2" t="s">
        <v>9</v>
      </c>
      <c r="B7" s="3">
        <v>900</v>
      </c>
      <c r="C7" s="2" t="s">
        <v>6</v>
      </c>
      <c r="F7" s="5"/>
    </row>
    <row r="8" spans="1:6" x14ac:dyDescent="0.3">
      <c r="A8" s="2" t="s">
        <v>22</v>
      </c>
      <c r="B8" s="3">
        <v>6000</v>
      </c>
      <c r="C8" s="2" t="s">
        <v>6</v>
      </c>
      <c r="F8" s="5"/>
    </row>
    <row r="9" spans="1:6" x14ac:dyDescent="0.3">
      <c r="A9" s="2" t="s">
        <v>15</v>
      </c>
      <c r="B9" s="3">
        <f>5000+(200*80)</f>
        <v>21000</v>
      </c>
      <c r="C9" s="2" t="s">
        <v>16</v>
      </c>
      <c r="D9" s="5"/>
    </row>
    <row r="10" spans="1:6" x14ac:dyDescent="0.3">
      <c r="A10" s="2" t="s">
        <v>26</v>
      </c>
      <c r="B10" s="3">
        <f>20*1000</f>
        <v>20000</v>
      </c>
      <c r="C10" s="2" t="s">
        <v>12</v>
      </c>
    </row>
    <row r="11" spans="1:6" x14ac:dyDescent="0.3">
      <c r="A11" s="2" t="s">
        <v>27</v>
      </c>
      <c r="B11" s="10">
        <f>200*20</f>
        <v>4000</v>
      </c>
      <c r="C11" s="2"/>
    </row>
    <row r="12" spans="1:6" x14ac:dyDescent="0.3">
      <c r="A12" s="2" t="s">
        <v>28</v>
      </c>
      <c r="B12" s="10">
        <f>1000*20</f>
        <v>20000</v>
      </c>
      <c r="C12" s="2"/>
    </row>
    <row r="13" spans="1:6" x14ac:dyDescent="0.3">
      <c r="A13" s="2" t="s">
        <v>23</v>
      </c>
      <c r="B13" s="10">
        <f>15*200</f>
        <v>3000</v>
      </c>
      <c r="C13" s="2"/>
    </row>
    <row r="14" spans="1:6" x14ac:dyDescent="0.3">
      <c r="A14" s="2" t="s">
        <v>17</v>
      </c>
      <c r="B14" s="10">
        <v>4000</v>
      </c>
      <c r="C14" s="2"/>
    </row>
    <row r="15" spans="1:6" x14ac:dyDescent="0.3">
      <c r="A15" s="2" t="s">
        <v>29</v>
      </c>
      <c r="B15" s="3">
        <v>20000</v>
      </c>
      <c r="C15" s="2"/>
    </row>
    <row r="16" spans="1:6" x14ac:dyDescent="0.3">
      <c r="A16" s="2" t="s">
        <v>18</v>
      </c>
      <c r="B16" s="3">
        <v>10000</v>
      </c>
      <c r="C16" s="2"/>
      <c r="E16" s="6"/>
      <c r="F16" s="4"/>
    </row>
    <row r="17" spans="1:6" x14ac:dyDescent="0.3">
      <c r="A17" s="2" t="s">
        <v>30</v>
      </c>
      <c r="B17" s="3">
        <v>30000</v>
      </c>
      <c r="C17" s="2"/>
      <c r="F17" s="5"/>
    </row>
    <row r="18" spans="1:6" x14ac:dyDescent="0.3">
      <c r="A18" s="2" t="s">
        <v>19</v>
      </c>
      <c r="B18" s="3">
        <v>15000</v>
      </c>
      <c r="C18" s="2"/>
      <c r="F18" s="5"/>
    </row>
    <row r="19" spans="1:6" x14ac:dyDescent="0.3">
      <c r="A19" s="2" t="s">
        <v>24</v>
      </c>
      <c r="B19" s="3">
        <v>5000</v>
      </c>
      <c r="C19" s="2"/>
    </row>
    <row r="20" spans="1:6" x14ac:dyDescent="0.3">
      <c r="A20" s="2" t="s">
        <v>21</v>
      </c>
      <c r="B20" s="3">
        <v>5000</v>
      </c>
      <c r="C20" s="2"/>
    </row>
    <row r="21" spans="1:6" x14ac:dyDescent="0.3">
      <c r="A21" s="2" t="s">
        <v>31</v>
      </c>
      <c r="B21" s="3">
        <v>50000</v>
      </c>
      <c r="C21" s="2"/>
    </row>
    <row r="22" spans="1:6" x14ac:dyDescent="0.3">
      <c r="A22" s="8" t="s">
        <v>1</v>
      </c>
      <c r="B22" s="7">
        <f>SUM(B4:B21)</f>
        <v>260700</v>
      </c>
      <c r="C22" s="2"/>
    </row>
    <row r="23" spans="1:6" x14ac:dyDescent="0.3">
      <c r="A23" s="2"/>
      <c r="B23" s="3"/>
      <c r="C23" s="2"/>
    </row>
    <row r="24" spans="1:6" x14ac:dyDescent="0.3">
      <c r="A24" s="2"/>
      <c r="B24" s="3"/>
      <c r="C24" s="2"/>
    </row>
    <row r="25" spans="1:6" x14ac:dyDescent="0.3">
      <c r="A25" s="8" t="s">
        <v>10</v>
      </c>
      <c r="B25" s="3"/>
      <c r="C25" s="2"/>
    </row>
    <row r="26" spans="1:6" x14ac:dyDescent="0.3">
      <c r="A26" s="2" t="s">
        <v>14</v>
      </c>
      <c r="B26" s="3">
        <v>10000</v>
      </c>
      <c r="C26" s="2"/>
    </row>
    <row r="27" spans="1:6" x14ac:dyDescent="0.3">
      <c r="A27" s="2" t="s">
        <v>20</v>
      </c>
      <c r="B27" s="3">
        <f>(105000*118%)</f>
        <v>123900</v>
      </c>
      <c r="C27" s="2"/>
    </row>
    <row r="28" spans="1:6" x14ac:dyDescent="0.3">
      <c r="A28" s="2" t="s">
        <v>13</v>
      </c>
      <c r="B28" s="3">
        <f>((27180/9)*4)+(2519*4)</f>
        <v>22156</v>
      </c>
      <c r="C28" s="2"/>
    </row>
    <row r="29" spans="1:6" x14ac:dyDescent="0.3">
      <c r="A29" s="2" t="s">
        <v>25</v>
      </c>
      <c r="B29" s="3">
        <v>8244</v>
      </c>
      <c r="C29" s="2"/>
    </row>
    <row r="30" spans="1:6" x14ac:dyDescent="0.3">
      <c r="A30" s="2" t="s">
        <v>0</v>
      </c>
      <c r="B30" s="3">
        <v>25000</v>
      </c>
      <c r="C30" s="2"/>
    </row>
    <row r="31" spans="1:6" x14ac:dyDescent="0.3">
      <c r="A31" s="8" t="s">
        <v>1</v>
      </c>
      <c r="B31" s="7">
        <f>SUM(B26:B30)</f>
        <v>189300</v>
      </c>
      <c r="C31" s="2"/>
    </row>
    <row r="33" spans="1:3" x14ac:dyDescent="0.3">
      <c r="A33" s="11" t="s">
        <v>11</v>
      </c>
      <c r="B33" s="7">
        <f>B22+B31</f>
        <v>450000</v>
      </c>
      <c r="C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M</dc:creator>
  <cp:lastModifiedBy>Praveen M</cp:lastModifiedBy>
  <dcterms:created xsi:type="dcterms:W3CDTF">2025-04-08T16:40:14Z</dcterms:created>
  <dcterms:modified xsi:type="dcterms:W3CDTF">2025-04-13T14:11:54Z</dcterms:modified>
</cp:coreProperties>
</file>