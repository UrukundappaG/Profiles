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D:\DI Upgrade\"/>
    </mc:Choice>
  </mc:AlternateContent>
  <xr:revisionPtr revIDLastSave="0" documentId="13_ncr:1_{F2CEBF39-D5D5-4B30-94B8-F64E3C123C04}" xr6:coauthVersionLast="47" xr6:coauthVersionMax="47" xr10:uidLastSave="{00000000-0000-0000-0000-000000000000}"/>
  <bookViews>
    <workbookView xWindow="-108" yWindow="-108" windowWidth="23256" windowHeight="12576" tabRatio="926" firstSheet="1" activeTab="10" xr2:uid="{A6FDC051-47DA-459B-B349-62471DDB5446}"/>
  </bookViews>
  <sheets>
    <sheet name="Effort Estimation" sheetId="1" state="hidden" r:id="rId1"/>
    <sheet name="Resources and Effort" sheetId="34" r:id="rId2"/>
    <sheet name="Complexity Summary" sheetId="33" r:id="rId3"/>
    <sheet name="All apps Estimation Summary" sheetId="29" r:id="rId4"/>
    <sheet name="Summary_old" sheetId="28" state="hidden" r:id="rId5"/>
    <sheet name="Power Apps Estimation" sheetId="35" r:id="rId6"/>
    <sheet name="Resource Loading" sheetId="23" r:id="rId7"/>
    <sheet name="BBS" sheetId="30" r:id="rId8"/>
    <sheet name="Cadence" sheetId="31" r:id="rId9"/>
    <sheet name="Risk &amp; Insurance" sheetId="32" r:id="rId10"/>
    <sheet name="CAF Effort" sheetId="14" r:id="rId11"/>
    <sheet name="CWT Effort" sheetId="13" r:id="rId12"/>
    <sheet name="Digitalized Invoice Effort" sheetId="3" r:id="rId13"/>
    <sheet name="Survey App Details" sheetId="5" state="hidden" r:id="rId14"/>
    <sheet name="Survey App Effort" sheetId="6" r:id="rId15"/>
    <sheet name="Survey Mobile App" sheetId="10" state="hidden" r:id="rId16"/>
    <sheet name="JDs" sheetId="16" r:id="rId17"/>
    <sheet name="Working-IND_30" sheetId="22" r:id="rId18"/>
    <sheet name="Login Details" sheetId="15" state="hidden" r:id="rId19"/>
    <sheet name="Survey Details" sheetId="7" state="hidden" r:id="rId20"/>
    <sheet name="DI Audit logs Details" sheetId="4" state="hidden" r:id="rId21"/>
  </sheets>
  <definedNames>
    <definedName name="_Toc89451387" localSheetId="10">'CAF Effort'!$B$2</definedName>
    <definedName name="_Toc89451388" localSheetId="10">'CAF Effort'!$B$213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34" l="1"/>
  <c r="N19" i="29"/>
  <c r="O19" i="29"/>
  <c r="P19" i="29"/>
  <c r="Q19" i="29"/>
  <c r="R19" i="29"/>
  <c r="S19" i="29"/>
  <c r="T19" i="29"/>
  <c r="U19" i="29"/>
  <c r="V19" i="29"/>
  <c r="M19" i="29"/>
  <c r="V9" i="29"/>
  <c r="V6" i="29"/>
  <c r="S9" i="29"/>
  <c r="S6" i="29"/>
  <c r="P12" i="29"/>
  <c r="P9" i="29"/>
  <c r="P6" i="29"/>
  <c r="D3" i="29"/>
  <c r="U12" i="29"/>
  <c r="V12" i="29" s="1"/>
  <c r="U9" i="29"/>
  <c r="U6" i="29"/>
  <c r="U5" i="29"/>
  <c r="V5" i="29" s="1"/>
  <c r="R12" i="29"/>
  <c r="S12" i="29" s="1"/>
  <c r="R9" i="29"/>
  <c r="R6" i="29"/>
  <c r="R5" i="29"/>
  <c r="S5" i="29" s="1"/>
  <c r="O12" i="29"/>
  <c r="O9" i="29"/>
  <c r="O6" i="29"/>
  <c r="O5" i="29"/>
  <c r="P5" i="29" s="1"/>
  <c r="R43" i="35"/>
  <c r="Q43" i="35"/>
  <c r="P43" i="35"/>
  <c r="O43" i="35"/>
  <c r="N43" i="35"/>
  <c r="M43" i="35"/>
  <c r="L43" i="35"/>
  <c r="K43" i="35"/>
  <c r="J43" i="35"/>
  <c r="I43" i="35"/>
  <c r="H43" i="35"/>
  <c r="G43" i="35"/>
  <c r="F43" i="35"/>
  <c r="E43" i="35"/>
  <c r="D43" i="35"/>
  <c r="C43" i="35"/>
  <c r="B43" i="35"/>
  <c r="S43" i="35" s="1"/>
  <c r="R41" i="35"/>
  <c r="Q41" i="35"/>
  <c r="P41" i="35"/>
  <c r="O41" i="35"/>
  <c r="N41" i="35"/>
  <c r="M41" i="35"/>
  <c r="L41" i="35"/>
  <c r="K41" i="35"/>
  <c r="J41" i="35"/>
  <c r="I41" i="35"/>
  <c r="H41" i="35"/>
  <c r="G41" i="35"/>
  <c r="F41" i="35"/>
  <c r="E41" i="35"/>
  <c r="D41" i="35"/>
  <c r="C41" i="35"/>
  <c r="B41" i="35"/>
  <c r="S41" i="35" s="1"/>
  <c r="R39" i="35"/>
  <c r="Q39" i="35"/>
  <c r="P39" i="35"/>
  <c r="O39" i="35"/>
  <c r="N39" i="35"/>
  <c r="M39" i="35"/>
  <c r="L39" i="35"/>
  <c r="K39" i="35"/>
  <c r="J39" i="35"/>
  <c r="I39" i="35"/>
  <c r="H39" i="35"/>
  <c r="G39" i="35"/>
  <c r="F39" i="35"/>
  <c r="E39" i="35"/>
  <c r="D39" i="35"/>
  <c r="C39" i="35"/>
  <c r="S39" i="35" s="1"/>
  <c r="B39" i="35"/>
  <c r="R37" i="35"/>
  <c r="Q37" i="35"/>
  <c r="P37" i="35"/>
  <c r="O37" i="35"/>
  <c r="N37" i="35"/>
  <c r="M37" i="35"/>
  <c r="L37" i="35"/>
  <c r="K37" i="35"/>
  <c r="J37" i="35"/>
  <c r="I37" i="35"/>
  <c r="H37" i="35"/>
  <c r="G37" i="35"/>
  <c r="F37" i="35"/>
  <c r="E37" i="35"/>
  <c r="D37" i="35"/>
  <c r="C37" i="35"/>
  <c r="S37" i="35" s="1"/>
  <c r="B37" i="35"/>
  <c r="N28" i="35"/>
  <c r="M28" i="35"/>
  <c r="L28" i="35"/>
  <c r="K28" i="35"/>
  <c r="J28" i="35"/>
  <c r="I28" i="35"/>
  <c r="H28" i="35"/>
  <c r="G28" i="35"/>
  <c r="F28" i="35"/>
  <c r="E28" i="35"/>
  <c r="D28" i="35"/>
  <c r="C28" i="35"/>
  <c r="B28" i="35"/>
  <c r="O28" i="35" s="1"/>
  <c r="N26" i="35"/>
  <c r="M26" i="35"/>
  <c r="L26" i="35"/>
  <c r="K26" i="35"/>
  <c r="J26" i="35"/>
  <c r="I26" i="35"/>
  <c r="H26" i="35"/>
  <c r="G26" i="35"/>
  <c r="F26" i="35"/>
  <c r="E26" i="35"/>
  <c r="D26" i="35"/>
  <c r="C26" i="35"/>
  <c r="B26" i="35"/>
  <c r="O26" i="35" s="1"/>
  <c r="N24" i="35"/>
  <c r="M24" i="35"/>
  <c r="L24" i="35"/>
  <c r="K24" i="35"/>
  <c r="J24" i="35"/>
  <c r="I24" i="35"/>
  <c r="H24" i="35"/>
  <c r="G24" i="35"/>
  <c r="F24" i="35"/>
  <c r="E24" i="35"/>
  <c r="D24" i="35"/>
  <c r="C24" i="35"/>
  <c r="B24" i="35"/>
  <c r="O24" i="35" s="1"/>
  <c r="N22" i="35"/>
  <c r="M22" i="35"/>
  <c r="L22" i="35"/>
  <c r="K22" i="35"/>
  <c r="J22" i="35"/>
  <c r="I22" i="35"/>
  <c r="H22" i="35"/>
  <c r="G22" i="35"/>
  <c r="F22" i="35"/>
  <c r="E22" i="35"/>
  <c r="D22" i="35"/>
  <c r="C22" i="35"/>
  <c r="B22" i="35"/>
  <c r="O22" i="35" s="1"/>
  <c r="N13" i="35"/>
  <c r="M13" i="35"/>
  <c r="L13" i="35"/>
  <c r="K13" i="35"/>
  <c r="J13" i="35"/>
  <c r="I13" i="35"/>
  <c r="H13" i="35"/>
  <c r="G13" i="35"/>
  <c r="F13" i="35"/>
  <c r="E13" i="35"/>
  <c r="D13" i="35"/>
  <c r="C13" i="35"/>
  <c r="B13" i="35"/>
  <c r="O13" i="35" s="1"/>
  <c r="N11" i="35"/>
  <c r="M11" i="35"/>
  <c r="L11" i="35"/>
  <c r="K11" i="35"/>
  <c r="J11" i="35"/>
  <c r="I11" i="35"/>
  <c r="H11" i="35"/>
  <c r="G11" i="35"/>
  <c r="F11" i="35"/>
  <c r="O11" i="35" s="1"/>
  <c r="E11" i="35"/>
  <c r="D11" i="35"/>
  <c r="C11" i="35"/>
  <c r="B11" i="35"/>
  <c r="N9" i="35"/>
  <c r="M9" i="35"/>
  <c r="L9" i="35"/>
  <c r="K9" i="35"/>
  <c r="J9" i="35"/>
  <c r="I9" i="35"/>
  <c r="H9" i="35"/>
  <c r="G9" i="35"/>
  <c r="F9" i="35"/>
  <c r="E9" i="35"/>
  <c r="D9" i="35"/>
  <c r="O9" i="35" s="1"/>
  <c r="C9" i="35"/>
  <c r="B9" i="35"/>
  <c r="N7" i="35"/>
  <c r="M7" i="35"/>
  <c r="L7" i="35"/>
  <c r="K7" i="35"/>
  <c r="J7" i="35"/>
  <c r="I7" i="35"/>
  <c r="H7" i="35"/>
  <c r="G7" i="35"/>
  <c r="F7" i="35"/>
  <c r="E7" i="35"/>
  <c r="D7" i="35"/>
  <c r="C7" i="35"/>
  <c r="B7" i="35"/>
  <c r="O7" i="35" s="1"/>
  <c r="B20" i="34"/>
  <c r="D13" i="34"/>
  <c r="V9" i="34"/>
  <c r="U9" i="34"/>
  <c r="V8" i="34"/>
  <c r="V7" i="34"/>
  <c r="U7" i="34"/>
  <c r="V3" i="34"/>
  <c r="D20" i="34" l="1"/>
  <c r="O19" i="35"/>
  <c r="O4" i="35"/>
  <c r="S34" i="35"/>
  <c r="E8" i="33"/>
  <c r="E6" i="33"/>
  <c r="E7" i="33"/>
  <c r="A34" i="31"/>
  <c r="A159" i="30"/>
  <c r="B159" i="30"/>
  <c r="A59" i="32"/>
  <c r="K65" i="32" l="1"/>
  <c r="J65" i="32"/>
  <c r="O60" i="32"/>
  <c r="N60" i="32"/>
  <c r="M60" i="32"/>
  <c r="L60" i="32"/>
  <c r="K60" i="32"/>
  <c r="K62" i="32" s="1"/>
  <c r="E64" i="32" s="1"/>
  <c r="J60" i="32"/>
  <c r="J62" i="32" s="1"/>
  <c r="E63" i="32" s="1"/>
  <c r="I60" i="32"/>
  <c r="G60" i="32"/>
  <c r="F60" i="32"/>
  <c r="E59" i="32"/>
  <c r="D8" i="33" s="1"/>
  <c r="D59" i="32"/>
  <c r="C8" i="33" s="1"/>
  <c r="C59" i="32"/>
  <c r="B8" i="33" s="1"/>
  <c r="B59" i="32"/>
  <c r="Q34" i="31"/>
  <c r="P34" i="31"/>
  <c r="O34" i="31"/>
  <c r="N34" i="31"/>
  <c r="M34" i="31"/>
  <c r="L34" i="31"/>
  <c r="K34" i="31"/>
  <c r="J34" i="31"/>
  <c r="I34" i="31"/>
  <c r="H34" i="31"/>
  <c r="G34" i="31"/>
  <c r="F34" i="31"/>
  <c r="E34" i="31"/>
  <c r="D7" i="33" s="1"/>
  <c r="D34" i="31"/>
  <c r="C7" i="33" s="1"/>
  <c r="C34" i="31"/>
  <c r="B7" i="33" s="1"/>
  <c r="B34" i="31"/>
  <c r="L159" i="30"/>
  <c r="L162" i="30" s="1"/>
  <c r="K159" i="30"/>
  <c r="K162" i="30" s="1"/>
  <c r="J159" i="30"/>
  <c r="I159" i="30"/>
  <c r="H159" i="30"/>
  <c r="G159" i="30"/>
  <c r="F159" i="30"/>
  <c r="E159" i="30"/>
  <c r="D6" i="33" s="1"/>
  <c r="D159" i="30"/>
  <c r="C6" i="33" s="1"/>
  <c r="C159" i="30"/>
  <c r="B6" i="33" s="1"/>
  <c r="C164" i="30" l="1"/>
  <c r="J162" i="30"/>
  <c r="D164" i="30" s="1"/>
  <c r="E70" i="32"/>
  <c r="D63" i="32"/>
  <c r="D64" i="32"/>
  <c r="D165" i="30"/>
  <c r="C165" i="30"/>
  <c r="C171" i="30" s="1"/>
  <c r="D171" i="30"/>
  <c r="D70" i="32" l="1"/>
  <c r="K23" i="29" l="1"/>
  <c r="E148" i="6"/>
  <c r="E23" i="29" s="1"/>
  <c r="E2" i="33"/>
  <c r="E5" i="33"/>
  <c r="D66" i="13"/>
  <c r="E66" i="13"/>
  <c r="E107" i="3"/>
  <c r="B23" i="29" s="1"/>
  <c r="M4" i="29" l="1"/>
  <c r="M3" i="29"/>
  <c r="J4" i="29"/>
  <c r="J3" i="29"/>
  <c r="G4" i="29"/>
  <c r="G3" i="29"/>
  <c r="D4" i="29"/>
  <c r="K4" i="29"/>
  <c r="K3" i="29"/>
  <c r="H4" i="29"/>
  <c r="H3" i="29"/>
  <c r="E4" i="29"/>
  <c r="E3" i="29"/>
  <c r="B4" i="29"/>
  <c r="B3" i="29"/>
  <c r="M14" i="29"/>
  <c r="M15" i="29"/>
  <c r="M16" i="29"/>
  <c r="M17" i="29"/>
  <c r="M18" i="29"/>
  <c r="M12" i="29"/>
  <c r="M13" i="29"/>
  <c r="M7" i="29"/>
  <c r="M8" i="29"/>
  <c r="M9" i="29"/>
  <c r="M10" i="29"/>
  <c r="M11" i="29"/>
  <c r="M6" i="29"/>
  <c r="M5" i="29"/>
  <c r="J6" i="29"/>
  <c r="J7" i="29"/>
  <c r="J8" i="29"/>
  <c r="J9" i="29"/>
  <c r="J10" i="29"/>
  <c r="J11" i="29"/>
  <c r="J12" i="29"/>
  <c r="J13" i="29"/>
  <c r="J14" i="29"/>
  <c r="J15" i="29"/>
  <c r="J16" i="29"/>
  <c r="J17" i="29"/>
  <c r="J18" i="29"/>
  <c r="J5" i="29"/>
  <c r="G6" i="29"/>
  <c r="G7" i="29"/>
  <c r="G8" i="29"/>
  <c r="G9" i="29"/>
  <c r="G10" i="29"/>
  <c r="G11" i="29"/>
  <c r="G12" i="29"/>
  <c r="G13" i="29"/>
  <c r="G14" i="29"/>
  <c r="G15" i="29"/>
  <c r="G16" i="29"/>
  <c r="G17" i="29"/>
  <c r="G18" i="29"/>
  <c r="G5" i="29"/>
  <c r="D12" i="29"/>
  <c r="D13" i="29"/>
  <c r="D14" i="29"/>
  <c r="D15" i="29"/>
  <c r="D16" i="29"/>
  <c r="D17" i="29"/>
  <c r="D18" i="29"/>
  <c r="D6" i="29"/>
  <c r="D7" i="29"/>
  <c r="D8" i="29"/>
  <c r="D9" i="29"/>
  <c r="D10" i="29"/>
  <c r="D11" i="29"/>
  <c r="D5" i="29"/>
  <c r="K6" i="29"/>
  <c r="K7" i="29"/>
  <c r="K8" i="29"/>
  <c r="K9" i="29"/>
  <c r="K10" i="29"/>
  <c r="K11" i="29"/>
  <c r="K12" i="29"/>
  <c r="K13" i="29"/>
  <c r="K14" i="29"/>
  <c r="K15" i="29"/>
  <c r="K16" i="29"/>
  <c r="K17" i="29"/>
  <c r="K18" i="29"/>
  <c r="K5" i="29"/>
  <c r="H22" i="29"/>
  <c r="H21" i="29"/>
  <c r="H20" i="29"/>
  <c r="I19" i="29"/>
  <c r="J19" i="29" s="1"/>
  <c r="L19" i="29"/>
  <c r="H6" i="29"/>
  <c r="H7" i="29"/>
  <c r="H8" i="29"/>
  <c r="H9" i="29"/>
  <c r="H10" i="29"/>
  <c r="H11" i="29"/>
  <c r="H12" i="29"/>
  <c r="H13" i="29"/>
  <c r="H14" i="29"/>
  <c r="H15" i="29"/>
  <c r="H16" i="29"/>
  <c r="H17" i="29"/>
  <c r="H18" i="29"/>
  <c r="H5" i="29"/>
  <c r="E6" i="29"/>
  <c r="E7" i="29"/>
  <c r="E8" i="29"/>
  <c r="E9" i="29"/>
  <c r="E10" i="29"/>
  <c r="E11" i="29"/>
  <c r="E12" i="29"/>
  <c r="E13" i="29"/>
  <c r="E14" i="29"/>
  <c r="E15" i="29"/>
  <c r="E16" i="29"/>
  <c r="E17" i="29"/>
  <c r="E18" i="29"/>
  <c r="E5" i="29"/>
  <c r="C19" i="29"/>
  <c r="F19" i="29"/>
  <c r="G19" i="29" s="1"/>
  <c r="D148" i="6"/>
  <c r="E22" i="29" s="1"/>
  <c r="C148" i="6"/>
  <c r="E21" i="29" s="1"/>
  <c r="B148" i="6"/>
  <c r="E20" i="29" s="1"/>
  <c r="A148" i="6"/>
  <c r="B6" i="29"/>
  <c r="B7" i="29"/>
  <c r="B8" i="29"/>
  <c r="B9" i="29"/>
  <c r="B10" i="29"/>
  <c r="B11" i="29"/>
  <c r="B12" i="29"/>
  <c r="B13" i="29"/>
  <c r="B14" i="29"/>
  <c r="B15" i="29"/>
  <c r="B16" i="29"/>
  <c r="B17" i="29"/>
  <c r="B18" i="29"/>
  <c r="B5" i="29"/>
  <c r="O6" i="28"/>
  <c r="O7" i="28" s="1"/>
  <c r="N6" i="28"/>
  <c r="N7" i="28" s="1"/>
  <c r="P4" i="28"/>
  <c r="R4" i="28" s="1"/>
  <c r="P3" i="28"/>
  <c r="R3" i="28" s="1"/>
  <c r="P2" i="28"/>
  <c r="R2" i="28" s="1"/>
  <c r="B107" i="3"/>
  <c r="C107" i="3"/>
  <c r="B21" i="29" s="1"/>
  <c r="D107" i="3"/>
  <c r="B22" i="29" s="1"/>
  <c r="A107" i="3"/>
  <c r="K22" i="29" s="1"/>
  <c r="C66" i="13"/>
  <c r="K21" i="29" s="1"/>
  <c r="B66" i="13"/>
  <c r="K20" i="29" s="1"/>
  <c r="C251" i="14"/>
  <c r="D251" i="14"/>
  <c r="B251" i="14"/>
  <c r="U28" i="22"/>
  <c r="A25" i="22"/>
  <c r="P24" i="22"/>
  <c r="N24" i="22"/>
  <c r="M24" i="22"/>
  <c r="L24" i="22"/>
  <c r="K24" i="22"/>
  <c r="J24" i="22"/>
  <c r="I24" i="22"/>
  <c r="F24" i="22"/>
  <c r="H24" i="22" s="1"/>
  <c r="E24" i="22"/>
  <c r="P23" i="22"/>
  <c r="N23" i="22"/>
  <c r="M23" i="22"/>
  <c r="L23" i="22"/>
  <c r="K23" i="22"/>
  <c r="F23" i="22"/>
  <c r="I23" i="22" s="1"/>
  <c r="E23" i="22"/>
  <c r="P22" i="22"/>
  <c r="N22" i="22"/>
  <c r="M22" i="22"/>
  <c r="L22" i="22"/>
  <c r="K22" i="22"/>
  <c r="I22" i="22"/>
  <c r="H22" i="22"/>
  <c r="G22" i="22"/>
  <c r="F22" i="22"/>
  <c r="J22" i="22" s="1"/>
  <c r="E22" i="22"/>
  <c r="P21" i="22"/>
  <c r="N21" i="22"/>
  <c r="M21" i="22"/>
  <c r="L21" i="22"/>
  <c r="K21" i="22"/>
  <c r="J21" i="22"/>
  <c r="H21" i="22"/>
  <c r="G21" i="22"/>
  <c r="F21" i="22"/>
  <c r="I21" i="22" s="1"/>
  <c r="E21" i="22"/>
  <c r="P20" i="22"/>
  <c r="N20" i="22"/>
  <c r="M20" i="22"/>
  <c r="L20" i="22"/>
  <c r="K20" i="22"/>
  <c r="F20" i="22"/>
  <c r="J20" i="22" s="1"/>
  <c r="E20" i="22"/>
  <c r="P19" i="22"/>
  <c r="N19" i="22"/>
  <c r="M19" i="22"/>
  <c r="L19" i="22"/>
  <c r="K19" i="22"/>
  <c r="J19" i="22"/>
  <c r="I19" i="22"/>
  <c r="H19" i="22"/>
  <c r="F19" i="22"/>
  <c r="E19" i="22"/>
  <c r="P18" i="22"/>
  <c r="N18" i="22"/>
  <c r="M18" i="22"/>
  <c r="L18" i="22"/>
  <c r="K18" i="22"/>
  <c r="I18" i="22"/>
  <c r="H18" i="22"/>
  <c r="F18" i="22"/>
  <c r="E18" i="22"/>
  <c r="P17" i="22"/>
  <c r="N17" i="22"/>
  <c r="M17" i="22"/>
  <c r="L17" i="22"/>
  <c r="K17" i="22"/>
  <c r="F17" i="22"/>
  <c r="J17" i="22" s="1"/>
  <c r="E17" i="22"/>
  <c r="P16" i="22"/>
  <c r="N16" i="22"/>
  <c r="M16" i="22"/>
  <c r="L16" i="22"/>
  <c r="K16" i="22"/>
  <c r="J16" i="22"/>
  <c r="I16" i="22"/>
  <c r="F16" i="22"/>
  <c r="H16" i="22" s="1"/>
  <c r="E16" i="22"/>
  <c r="P15" i="22"/>
  <c r="N15" i="22"/>
  <c r="M15" i="22"/>
  <c r="L15" i="22"/>
  <c r="K15" i="22"/>
  <c r="F15" i="22"/>
  <c r="I15" i="22" s="1"/>
  <c r="E15" i="22"/>
  <c r="P14" i="22"/>
  <c r="N14" i="22"/>
  <c r="M14" i="22"/>
  <c r="L14" i="22"/>
  <c r="K14" i="22"/>
  <c r="J14" i="22"/>
  <c r="I14" i="22"/>
  <c r="H14" i="22"/>
  <c r="G14" i="22"/>
  <c r="O14" i="22" s="1"/>
  <c r="F14" i="22"/>
  <c r="E14" i="22"/>
  <c r="P13" i="22"/>
  <c r="N13" i="22"/>
  <c r="M13" i="22"/>
  <c r="L13" i="22"/>
  <c r="K13" i="22"/>
  <c r="J13" i="22"/>
  <c r="H13" i="22"/>
  <c r="G13" i="22"/>
  <c r="F13" i="22"/>
  <c r="I13" i="22" s="1"/>
  <c r="E13" i="22"/>
  <c r="P12" i="22"/>
  <c r="N12" i="22"/>
  <c r="M12" i="22"/>
  <c r="L12" i="22"/>
  <c r="K12" i="22"/>
  <c r="F12" i="22"/>
  <c r="J12" i="22" s="1"/>
  <c r="E12" i="22"/>
  <c r="P11" i="22"/>
  <c r="N11" i="22"/>
  <c r="M11" i="22"/>
  <c r="L11" i="22"/>
  <c r="K11" i="22"/>
  <c r="J11" i="22"/>
  <c r="I11" i="22"/>
  <c r="H11" i="22"/>
  <c r="F11" i="22"/>
  <c r="E11" i="22"/>
  <c r="P10" i="22"/>
  <c r="N10" i="22"/>
  <c r="M10" i="22"/>
  <c r="L10" i="22"/>
  <c r="K10" i="22"/>
  <c r="I10" i="22"/>
  <c r="H10" i="22"/>
  <c r="F10" i="22"/>
  <c r="E10" i="22"/>
  <c r="P9" i="22"/>
  <c r="N9" i="22"/>
  <c r="M9" i="22"/>
  <c r="L9" i="22"/>
  <c r="K9" i="22"/>
  <c r="F9" i="22"/>
  <c r="J9" i="22" s="1"/>
  <c r="E9" i="22"/>
  <c r="P8" i="22"/>
  <c r="N8" i="22"/>
  <c r="M8" i="22"/>
  <c r="L8" i="22"/>
  <c r="K8" i="22"/>
  <c r="J8" i="22"/>
  <c r="I8" i="22"/>
  <c r="G8" i="22"/>
  <c r="F8" i="22"/>
  <c r="H8" i="22" s="1"/>
  <c r="E8" i="22"/>
  <c r="P7" i="22"/>
  <c r="N7" i="22"/>
  <c r="M7" i="22"/>
  <c r="L7" i="22"/>
  <c r="K7" i="22"/>
  <c r="F7" i="22"/>
  <c r="I7" i="22" s="1"/>
  <c r="E7" i="22"/>
  <c r="P6" i="22"/>
  <c r="N6" i="22"/>
  <c r="M6" i="22"/>
  <c r="L6" i="22"/>
  <c r="K6" i="22"/>
  <c r="F6" i="22"/>
  <c r="J6" i="22" s="1"/>
  <c r="E6" i="22"/>
  <c r="P5" i="22"/>
  <c r="N5" i="22"/>
  <c r="M5" i="22"/>
  <c r="L5" i="22"/>
  <c r="K5" i="22"/>
  <c r="J5" i="22"/>
  <c r="I5" i="22"/>
  <c r="F5" i="22"/>
  <c r="G5" i="22" s="1"/>
  <c r="E5" i="22"/>
  <c r="P4" i="22"/>
  <c r="N4" i="22"/>
  <c r="M4" i="22"/>
  <c r="L4" i="22"/>
  <c r="K4" i="22"/>
  <c r="I4" i="22"/>
  <c r="H4" i="22"/>
  <c r="F4" i="22"/>
  <c r="E4" i="22"/>
  <c r="P3" i="22"/>
  <c r="P25" i="22" s="1"/>
  <c r="N3" i="22"/>
  <c r="N25" i="22" s="1"/>
  <c r="M3" i="22"/>
  <c r="M25" i="22" s="1"/>
  <c r="L3" i="22"/>
  <c r="L25" i="22" s="1"/>
  <c r="K3" i="22"/>
  <c r="K25" i="22" s="1"/>
  <c r="F3" i="22"/>
  <c r="J3" i="22" s="1"/>
  <c r="E3" i="22"/>
  <c r="B19" i="29" l="1"/>
  <c r="B20" i="29"/>
  <c r="H19" i="29"/>
  <c r="E19" i="29"/>
  <c r="K19" i="29"/>
  <c r="D19" i="29"/>
  <c r="Q4" i="28"/>
  <c r="Q2" i="28"/>
  <c r="Q3" i="28"/>
  <c r="S14" i="22"/>
  <c r="T14" i="22" s="1"/>
  <c r="V14" i="22" s="1"/>
  <c r="W14" i="22" s="1"/>
  <c r="X14" i="22" s="1"/>
  <c r="Q14" i="22"/>
  <c r="U14" i="22" s="1"/>
  <c r="O11" i="22"/>
  <c r="O21" i="22"/>
  <c r="O8" i="22"/>
  <c r="O13" i="22"/>
  <c r="O22" i="22"/>
  <c r="O5" i="22"/>
  <c r="J7" i="22"/>
  <c r="J15" i="22"/>
  <c r="G16" i="22"/>
  <c r="O16" i="22"/>
  <c r="J23" i="22"/>
  <c r="G24" i="22"/>
  <c r="O24" i="22" s="1"/>
  <c r="F25" i="22"/>
  <c r="J4" i="22"/>
  <c r="J10" i="22"/>
  <c r="J25" i="22" s="1"/>
  <c r="G11" i="22"/>
  <c r="J18" i="22"/>
  <c r="G19" i="22"/>
  <c r="O19" i="22" s="1"/>
  <c r="G3" i="22"/>
  <c r="O3" i="22" s="1"/>
  <c r="G6" i="22"/>
  <c r="O6" i="22" s="1"/>
  <c r="G9" i="22"/>
  <c r="O9" i="22"/>
  <c r="G17" i="22"/>
  <c r="H3" i="22"/>
  <c r="I6" i="22"/>
  <c r="H9" i="22"/>
  <c r="G12" i="22"/>
  <c r="H17" i="22"/>
  <c r="G20" i="22"/>
  <c r="I3" i="22"/>
  <c r="I25" i="22" s="1"/>
  <c r="G7" i="22"/>
  <c r="O7" i="22" s="1"/>
  <c r="I9" i="22"/>
  <c r="H12" i="22"/>
  <c r="O12" i="22" s="1"/>
  <c r="G15" i="22"/>
  <c r="O15" i="22" s="1"/>
  <c r="I17" i="22"/>
  <c r="O17" i="22" s="1"/>
  <c r="H20" i="22"/>
  <c r="O20" i="22" s="1"/>
  <c r="G23" i="22"/>
  <c r="O23" i="22" s="1"/>
  <c r="G4" i="22"/>
  <c r="O4" i="22" s="1"/>
  <c r="H7" i="22"/>
  <c r="G10" i="22"/>
  <c r="O10" i="22" s="1"/>
  <c r="I12" i="22"/>
  <c r="H15" i="22"/>
  <c r="G18" i="22"/>
  <c r="O18" i="22" s="1"/>
  <c r="I20" i="22"/>
  <c r="H23" i="22"/>
  <c r="S4" i="22" l="1"/>
  <c r="Q4" i="22"/>
  <c r="U4" i="22" s="1"/>
  <c r="S10" i="22"/>
  <c r="T10" i="22" s="1"/>
  <c r="V10" i="22" s="1"/>
  <c r="W10" i="22" s="1"/>
  <c r="X10" i="22" s="1"/>
  <c r="Q10" i="22"/>
  <c r="U10" i="22" s="1"/>
  <c r="Q7" i="22"/>
  <c r="U7" i="22" s="1"/>
  <c r="S7" i="22"/>
  <c r="T7" i="22" s="1"/>
  <c r="V7" i="22" s="1"/>
  <c r="W7" i="22" s="1"/>
  <c r="X7" i="22" s="1"/>
  <c r="S17" i="22"/>
  <c r="T17" i="22" s="1"/>
  <c r="V17" i="22" s="1"/>
  <c r="W17" i="22" s="1"/>
  <c r="X17" i="22" s="1"/>
  <c r="Q17" i="22"/>
  <c r="U17" i="22" s="1"/>
  <c r="S3" i="22"/>
  <c r="Q3" i="22"/>
  <c r="O25" i="22"/>
  <c r="Q23" i="22"/>
  <c r="U23" i="22" s="1"/>
  <c r="S23" i="22"/>
  <c r="T23" i="22" s="1"/>
  <c r="V23" i="22" s="1"/>
  <c r="W23" i="22" s="1"/>
  <c r="X23" i="22" s="1"/>
  <c r="S20" i="22"/>
  <c r="Q20" i="22"/>
  <c r="U20" i="22" s="1"/>
  <c r="S19" i="22"/>
  <c r="Q19" i="22"/>
  <c r="U19" i="22" s="1"/>
  <c r="Q24" i="22"/>
  <c r="U24" i="22" s="1"/>
  <c r="S24" i="22"/>
  <c r="S18" i="22"/>
  <c r="Q18" i="22"/>
  <c r="U18" i="22" s="1"/>
  <c r="Q15" i="22"/>
  <c r="U15" i="22" s="1"/>
  <c r="S15" i="22"/>
  <c r="T15" i="22" s="1"/>
  <c r="V15" i="22" s="1"/>
  <c r="W15" i="22" s="1"/>
  <c r="X15" i="22" s="1"/>
  <c r="S12" i="22"/>
  <c r="Q12" i="22"/>
  <c r="U12" i="22" s="1"/>
  <c r="S16" i="22"/>
  <c r="T16" i="22" s="1"/>
  <c r="V16" i="22" s="1"/>
  <c r="W16" i="22" s="1"/>
  <c r="X16" i="22" s="1"/>
  <c r="Q16" i="22"/>
  <c r="U16" i="22" s="1"/>
  <c r="S21" i="22"/>
  <c r="Q21" i="22"/>
  <c r="U21" i="22" s="1"/>
  <c r="S11" i="22"/>
  <c r="Q11" i="22"/>
  <c r="U11" i="22" s="1"/>
  <c r="S6" i="22"/>
  <c r="Q6" i="22"/>
  <c r="U6" i="22" s="1"/>
  <c r="Q5" i="22"/>
  <c r="U5" i="22" s="1"/>
  <c r="S5" i="22"/>
  <c r="H25" i="22"/>
  <c r="S8" i="22"/>
  <c r="Q8" i="22"/>
  <c r="U8" i="22" s="1"/>
  <c r="S9" i="22"/>
  <c r="T9" i="22" s="1"/>
  <c r="V9" i="22" s="1"/>
  <c r="W9" i="22" s="1"/>
  <c r="X9" i="22" s="1"/>
  <c r="Q9" i="22"/>
  <c r="U9" i="22" s="1"/>
  <c r="S22" i="22"/>
  <c r="Q22" i="22"/>
  <c r="U22" i="22" s="1"/>
  <c r="G25" i="22"/>
  <c r="Q13" i="22"/>
  <c r="U13" i="22" s="1"/>
  <c r="S13" i="22"/>
  <c r="T13" i="22" s="1"/>
  <c r="V13" i="22" s="1"/>
  <c r="W13" i="22" s="1"/>
  <c r="X13" i="22" s="1"/>
  <c r="Q25" i="22" l="1"/>
  <c r="U3" i="22"/>
  <c r="U25" i="22" s="1"/>
  <c r="U31" i="22" s="1"/>
  <c r="V37" i="22" s="1"/>
  <c r="W37" i="22" s="1"/>
  <c r="T3" i="22"/>
  <c r="S25" i="22"/>
  <c r="T4" i="22"/>
  <c r="V4" i="22" s="1"/>
  <c r="W4" i="22" s="1"/>
  <c r="X4" i="22" s="1"/>
  <c r="T6" i="22"/>
  <c r="V6" i="22" s="1"/>
  <c r="W6" i="22" s="1"/>
  <c r="X6" i="22" s="1"/>
  <c r="T12" i="22"/>
  <c r="V12" i="22" s="1"/>
  <c r="W12" i="22" s="1"/>
  <c r="X12" i="22" s="1"/>
  <c r="T19" i="22"/>
  <c r="V19" i="22" s="1"/>
  <c r="W19" i="22" s="1"/>
  <c r="X19" i="22" s="1"/>
  <c r="T22" i="22"/>
  <c r="V22" i="22" s="1"/>
  <c r="W22" i="22" s="1"/>
  <c r="X22" i="22" s="1"/>
  <c r="T20" i="22"/>
  <c r="V20" i="22" s="1"/>
  <c r="W20" i="22" s="1"/>
  <c r="X20" i="22" s="1"/>
  <c r="T8" i="22"/>
  <c r="V8" i="22" s="1"/>
  <c r="W8" i="22" s="1"/>
  <c r="X8" i="22" s="1"/>
  <c r="T11" i="22"/>
  <c r="V11" i="22" s="1"/>
  <c r="W11" i="22" s="1"/>
  <c r="X11" i="22" s="1"/>
  <c r="T21" i="22"/>
  <c r="V21" i="22" s="1"/>
  <c r="W21" i="22" s="1"/>
  <c r="X21" i="22" s="1"/>
  <c r="T18" i="22"/>
  <c r="V18" i="22" s="1"/>
  <c r="W18" i="22" s="1"/>
  <c r="X18" i="22" s="1"/>
  <c r="T5" i="22"/>
  <c r="V5" i="22" s="1"/>
  <c r="W5" i="22" s="1"/>
  <c r="X5" i="22" s="1"/>
  <c r="T24" i="22"/>
  <c r="V24" i="22" s="1"/>
  <c r="W24" i="22" s="1"/>
  <c r="X24" i="22" s="1"/>
  <c r="T25" i="22" l="1"/>
  <c r="V3" i="22"/>
  <c r="W3" i="22" l="1"/>
  <c r="V25" i="22"/>
  <c r="V31" i="22" s="1"/>
  <c r="F250" i="14"/>
  <c r="G250" i="14"/>
  <c r="H250" i="14"/>
  <c r="I250" i="14"/>
  <c r="J250" i="14"/>
  <c r="K250" i="14"/>
  <c r="L250" i="14"/>
  <c r="M250" i="14"/>
  <c r="N250" i="14"/>
  <c r="O250" i="14"/>
  <c r="P250" i="14"/>
  <c r="E250" i="14"/>
  <c r="G107" i="3"/>
  <c r="I107" i="3"/>
  <c r="J107" i="3"/>
  <c r="K107" i="3"/>
  <c r="L107" i="3"/>
  <c r="M107" i="3"/>
  <c r="N107" i="3"/>
  <c r="O107" i="3"/>
  <c r="P107" i="3"/>
  <c r="Q107" i="3"/>
  <c r="R107" i="3"/>
  <c r="S107" i="3"/>
  <c r="F107" i="3"/>
  <c r="K5" i="28" l="1"/>
  <c r="K6" i="28" s="1"/>
  <c r="K7" i="28" s="1"/>
  <c r="J5" i="28"/>
  <c r="J6" i="28" s="1"/>
  <c r="J7" i="28" s="1"/>
  <c r="H5" i="28"/>
  <c r="H6" i="28" s="1"/>
  <c r="H7" i="28" s="1"/>
  <c r="G5" i="28"/>
  <c r="G6" i="28" s="1"/>
  <c r="G7" i="28" s="1"/>
  <c r="I5" i="28"/>
  <c r="I6" i="28" s="1"/>
  <c r="I7" i="28" s="1"/>
  <c r="B5" i="28"/>
  <c r="F5" i="28"/>
  <c r="F6" i="28" s="1"/>
  <c r="F7" i="28" s="1"/>
  <c r="M5" i="28"/>
  <c r="M6" i="28" s="1"/>
  <c r="M7" i="28" s="1"/>
  <c r="E5" i="28"/>
  <c r="E6" i="28" s="1"/>
  <c r="E7" i="28" s="1"/>
  <c r="L5" i="28"/>
  <c r="L6" i="28" s="1"/>
  <c r="L7" i="28" s="1"/>
  <c r="D5" i="28"/>
  <c r="D6" i="28" s="1"/>
  <c r="D7" i="28" s="1"/>
  <c r="C5" i="28"/>
  <c r="C6" i="28" s="1"/>
  <c r="C7" i="28" s="1"/>
  <c r="W31" i="22"/>
  <c r="V36" i="22"/>
  <c r="X3" i="22"/>
  <c r="W25" i="22"/>
  <c r="X25" i="22" s="1"/>
  <c r="P17" i="10"/>
  <c r="O17" i="10"/>
  <c r="N17" i="10"/>
  <c r="M17" i="10"/>
  <c r="L17" i="10"/>
  <c r="K17" i="10"/>
  <c r="J17" i="10"/>
  <c r="I17" i="10"/>
  <c r="H17" i="10"/>
  <c r="G17" i="10"/>
  <c r="F17" i="10"/>
  <c r="E17" i="10"/>
  <c r="J148" i="6"/>
  <c r="L148" i="6"/>
  <c r="P148" i="6"/>
  <c r="O148" i="6"/>
  <c r="N148" i="6"/>
  <c r="G148" i="6"/>
  <c r="H148" i="6"/>
  <c r="I148" i="6"/>
  <c r="K148" i="6"/>
  <c r="M148" i="6"/>
  <c r="Q148" i="6"/>
  <c r="F148" i="6"/>
  <c r="F31" i="7"/>
  <c r="G31" i="7"/>
  <c r="H31" i="7"/>
  <c r="I31" i="7"/>
  <c r="J31" i="7"/>
  <c r="K31" i="7"/>
  <c r="L31" i="7"/>
  <c r="M31" i="7"/>
  <c r="N31" i="7"/>
  <c r="O31" i="7"/>
  <c r="P31" i="7"/>
  <c r="Q31" i="7"/>
  <c r="R31" i="7"/>
  <c r="E31" i="7"/>
  <c r="P1" i="4"/>
  <c r="O1" i="4"/>
  <c r="N1" i="4"/>
  <c r="M1" i="4"/>
  <c r="L1" i="4"/>
  <c r="K1" i="4"/>
  <c r="J1" i="4"/>
  <c r="I1" i="4"/>
  <c r="H1" i="4"/>
  <c r="G1" i="4"/>
  <c r="F1" i="4"/>
  <c r="E1" i="4"/>
  <c r="H20" i="3"/>
  <c r="H107" i="3" s="1"/>
  <c r="F23" i="1"/>
  <c r="F24" i="1"/>
  <c r="F4" i="1"/>
  <c r="F6" i="1"/>
  <c r="F7" i="1"/>
  <c r="F8" i="1"/>
  <c r="F9" i="1"/>
  <c r="F10" i="1"/>
  <c r="F11" i="1"/>
  <c r="F12" i="1"/>
  <c r="F13" i="1"/>
  <c r="F14" i="1"/>
  <c r="F15" i="1"/>
  <c r="F16" i="1"/>
  <c r="F17" i="1"/>
  <c r="F18" i="1"/>
  <c r="F19" i="1"/>
  <c r="F20" i="1"/>
  <c r="F21" i="1"/>
  <c r="F22" i="1"/>
  <c r="F25" i="1"/>
  <c r="F26" i="1"/>
  <c r="F27" i="1"/>
  <c r="F28" i="1"/>
  <c r="F29" i="1"/>
  <c r="F30" i="1"/>
  <c r="F31" i="1"/>
  <c r="F32" i="1"/>
  <c r="F33" i="1"/>
  <c r="F34" i="1"/>
  <c r="F35" i="1"/>
  <c r="F36" i="1"/>
  <c r="F37" i="1"/>
  <c r="F38" i="1"/>
  <c r="F39" i="1"/>
  <c r="F3" i="1"/>
  <c r="P5" i="28" l="1"/>
  <c r="B6" i="28"/>
  <c r="V38" i="22"/>
  <c r="V39" i="22" s="1"/>
  <c r="W36" i="22"/>
  <c r="W38" i="22" s="1"/>
  <c r="W39" i="22" s="1"/>
  <c r="B7" i="28" l="1"/>
  <c r="P6" i="28"/>
  <c r="Q5" i="28"/>
  <c r="R5" i="28"/>
  <c r="Q6" i="28" l="1"/>
  <c r="P7" i="28"/>
  <c r="R6" i="28"/>
</calcChain>
</file>

<file path=xl/sharedStrings.xml><?xml version="1.0" encoding="utf-8"?>
<sst xmlns="http://schemas.openxmlformats.org/spreadsheetml/2006/main" count="5744" uniqueCount="889">
  <si>
    <t>Theme</t>
  </si>
  <si>
    <t>EPIC</t>
  </si>
  <si>
    <t>User Stories</t>
  </si>
  <si>
    <t>Task</t>
  </si>
  <si>
    <t>Point Value</t>
  </si>
  <si>
    <t>~ Effort in 
Man Days</t>
  </si>
  <si>
    <t>Roles</t>
  </si>
  <si>
    <t>DI Upgrade</t>
  </si>
  <si>
    <t>.Net Developer</t>
  </si>
  <si>
    <t>Login</t>
  </si>
  <si>
    <t>Authentication</t>
  </si>
  <si>
    <t>SSO Inegration</t>
  </si>
  <si>
    <t>Authorization</t>
  </si>
  <si>
    <t>Passwod Management</t>
  </si>
  <si>
    <t>Dashboard</t>
  </si>
  <si>
    <t>Reports</t>
  </si>
  <si>
    <t>Search</t>
  </si>
  <si>
    <t>Report Export</t>
  </si>
  <si>
    <t>Audit Logs</t>
  </si>
  <si>
    <t xml:space="preserve">Maintenance </t>
  </si>
  <si>
    <t>Approver List</t>
  </si>
  <si>
    <t>Customer</t>
  </si>
  <si>
    <t>Customer Group</t>
  </si>
  <si>
    <t>Configuration</t>
  </si>
  <si>
    <t>Commercial Unit</t>
  </si>
  <si>
    <t>Invoice Footer</t>
  </si>
  <si>
    <t>Location</t>
  </si>
  <si>
    <t>Sales Group</t>
  </si>
  <si>
    <t>Sales Office</t>
  </si>
  <si>
    <t>Sales Org</t>
  </si>
  <si>
    <t>Site Admin</t>
  </si>
  <si>
    <t>Cloud Development</t>
  </si>
  <si>
    <t>Setting up MS Defender</t>
  </si>
  <si>
    <t>Azure Developer</t>
  </si>
  <si>
    <t>Setting up Azure Storage</t>
  </si>
  <si>
    <t xml:space="preserve">UX </t>
  </si>
  <si>
    <t>UI Design</t>
  </si>
  <si>
    <t>UX Developer</t>
  </si>
  <si>
    <t>JS Development</t>
  </si>
  <si>
    <t>Testing</t>
  </si>
  <si>
    <t>Unit Testing</t>
  </si>
  <si>
    <t>SIT</t>
  </si>
  <si>
    <t>Tester</t>
  </si>
  <si>
    <t>UAT</t>
  </si>
  <si>
    <t>PIV</t>
  </si>
  <si>
    <t>DB Development</t>
  </si>
  <si>
    <t>DB Admin</t>
  </si>
  <si>
    <t>Backend DBA</t>
  </si>
  <si>
    <t>Backend Developer</t>
  </si>
  <si>
    <t xml:space="preserve">Azure Development </t>
  </si>
  <si>
    <t>Azure DevOps Developer</t>
  </si>
  <si>
    <t>DevSecOps  Pipeline</t>
  </si>
  <si>
    <t>Create Project</t>
  </si>
  <si>
    <t>Create Azure Dashbaords</t>
  </si>
  <si>
    <t>Create Repo</t>
  </si>
  <si>
    <t>Create Artifacts</t>
  </si>
  <si>
    <t>Setup Pipeline</t>
  </si>
  <si>
    <t>Security Test Plans</t>
  </si>
  <si>
    <t>Project Management</t>
  </si>
  <si>
    <t>Scrum Master/PM</t>
  </si>
  <si>
    <t>Project Manager</t>
  </si>
  <si>
    <t>BA</t>
  </si>
  <si>
    <t>Business Analyst</t>
  </si>
  <si>
    <t>Tech Lead / App Architect/SA</t>
  </si>
  <si>
    <t>Technical Architect</t>
  </si>
  <si>
    <t>App Name</t>
  </si>
  <si>
    <t>Tasks</t>
  </si>
  <si>
    <t>Sub Tasks</t>
  </si>
  <si>
    <t>Web Forms</t>
  </si>
  <si>
    <t>Digitalised Invoice (DI)</t>
  </si>
  <si>
    <t>Survey App (+Mobile)</t>
  </si>
  <si>
    <t>BBS</t>
  </si>
  <si>
    <t>Credit Application Form (CAF)</t>
  </si>
  <si>
    <t>Cadence</t>
  </si>
  <si>
    <t>Certificate of Withholding Tax (CWT)</t>
  </si>
  <si>
    <t>Risk &amp; Insurance</t>
  </si>
  <si>
    <t>Effort In 
Hours</t>
  </si>
  <si>
    <t>Effotrt In 
Days</t>
  </si>
  <si>
    <t>Effort In 
Months</t>
  </si>
  <si>
    <t>SDA</t>
  </si>
  <si>
    <t>SA</t>
  </si>
  <si>
    <t>PM</t>
  </si>
  <si>
    <t>Architect</t>
  </si>
  <si>
    <t>Tech Lead</t>
  </si>
  <si>
    <t>Dev1</t>
  </si>
  <si>
    <t>Dev2</t>
  </si>
  <si>
    <t>Test Lead</t>
  </si>
  <si>
    <t>Test Engineer</t>
  </si>
  <si>
    <t>DBA</t>
  </si>
  <si>
    <t>DB Developer</t>
  </si>
  <si>
    <t>UX</t>
  </si>
  <si>
    <t>UI</t>
  </si>
  <si>
    <t>Cloud Architect</t>
  </si>
  <si>
    <t>DevOps Engineer</t>
  </si>
  <si>
    <t>Totals</t>
  </si>
  <si>
    <t>APP</t>
  </si>
  <si>
    <t>App Effort (In Days</t>
  </si>
  <si>
    <t>Months</t>
  </si>
  <si>
    <t>Hours</t>
  </si>
  <si>
    <t>Digitalised Invoice</t>
  </si>
  <si>
    <t>Survey Application</t>
  </si>
  <si>
    <t>CWT</t>
  </si>
  <si>
    <t>CAF</t>
  </si>
  <si>
    <t>Total</t>
  </si>
  <si>
    <t>Exact Month</t>
  </si>
  <si>
    <t>Rounded - Head Count</t>
  </si>
  <si>
    <t>CAF Values</t>
  </si>
  <si>
    <t>Head 
Count</t>
  </si>
  <si>
    <t>Role</t>
  </si>
  <si>
    <t>Monthly
Loading</t>
  </si>
  <si>
    <t>Hourly
Loading</t>
  </si>
  <si>
    <t>FNT 1</t>
  </si>
  <si>
    <t>FNT 2</t>
  </si>
  <si>
    <t>FNT 3</t>
  </si>
  <si>
    <t>FNT 4</t>
  </si>
  <si>
    <t>FNT 5</t>
  </si>
  <si>
    <t>FNT 6</t>
  </si>
  <si>
    <t>FNT 7</t>
  </si>
  <si>
    <t>FNT 8</t>
  </si>
  <si>
    <t>FNT 9</t>
  </si>
  <si>
    <t>FNT 10</t>
  </si>
  <si>
    <t>FNT 11</t>
  </si>
  <si>
    <t>FNT 12</t>
  </si>
  <si>
    <t>FNT 13</t>
  </si>
  <si>
    <t>FNT 14</t>
  </si>
  <si>
    <t>FNT 15</t>
  </si>
  <si>
    <t>FNT 16</t>
  </si>
  <si>
    <t>FNT 17</t>
  </si>
  <si>
    <t>FNT 18</t>
  </si>
  <si>
    <t>FNT 19</t>
  </si>
  <si>
    <t>FNT 20</t>
  </si>
  <si>
    <t>Senior BA</t>
  </si>
  <si>
    <t>Presales Solution Architect</t>
  </si>
  <si>
    <t>Senior Delivery Manager</t>
  </si>
  <si>
    <t xml:space="preserve"> .Net Technical Lead</t>
  </si>
  <si>
    <t>Front End  Technical Lead</t>
  </si>
  <si>
    <t>Senior .Net Developer</t>
  </si>
  <si>
    <t>Junior .Net Developer</t>
  </si>
  <si>
    <t>Database Admin / Architect</t>
  </si>
  <si>
    <t>SQL Developer</t>
  </si>
  <si>
    <t>Senior SQL Developer</t>
  </si>
  <si>
    <t>Senior UX Designer</t>
  </si>
  <si>
    <t>Front End  Developer</t>
  </si>
  <si>
    <t>Senior Front end  Developer</t>
  </si>
  <si>
    <t>Senior UI Designer</t>
  </si>
  <si>
    <t>Azure Cloud Architect</t>
  </si>
  <si>
    <t>Senior  Devops Engineer</t>
  </si>
  <si>
    <t>Jr Test Engineer</t>
  </si>
  <si>
    <t>Senior Test Engineer</t>
  </si>
  <si>
    <t>Senior Mobile Developer</t>
  </si>
  <si>
    <t>From Name</t>
  </si>
  <si>
    <t>User Story</t>
  </si>
  <si>
    <t>Sub Task</t>
  </si>
  <si>
    <t>QA Tester</t>
  </si>
  <si>
    <t>1. Behavior Based Safety Application</t>
  </si>
  <si>
    <t>35+</t>
  </si>
  <si>
    <t xml:space="preserve">New Site </t>
  </si>
  <si>
    <t>Create Site</t>
  </si>
  <si>
    <t>Create Groups and Permissions</t>
  </si>
  <si>
    <t>Create Table structure to map all the tables</t>
  </si>
  <si>
    <t>Create Lists in Sharepoint</t>
  </si>
  <si>
    <t>Create Views for the list</t>
  </si>
  <si>
    <t>PowerApps</t>
  </si>
  <si>
    <t>Login Screen</t>
  </si>
  <si>
    <t>Create New Screen with login Button.</t>
  </si>
  <si>
    <t>Dashborad</t>
  </si>
  <si>
    <t>Create new sceen with UI Navigation</t>
  </si>
  <si>
    <t xml:space="preserve">MU Coke BBS Compliance per site bar graph  </t>
  </si>
  <si>
    <t>Power BI Report</t>
  </si>
  <si>
    <t>MU Average BBS Compliance per Calendar Period line graph.</t>
  </si>
  <si>
    <t>Banner with Notification message showing the  pending Approvals</t>
  </si>
  <si>
    <t xml:space="preserve">Search and Filters </t>
  </si>
  <si>
    <t xml:space="preserve">RCA Home </t>
  </si>
  <si>
    <t>RCA Home</t>
  </si>
  <si>
    <t>Create new sceen with UI Navigation (Header,home,Back,Menu)</t>
  </si>
  <si>
    <t>Display all the Root Cause Analysis submitted for Approval</t>
  </si>
  <si>
    <t>RCA displays table of  Date Period, Plant, perfomed by, Location, Status and action</t>
  </si>
  <si>
    <t>Sorting functions for each soloumns</t>
  </si>
  <si>
    <t xml:space="preserve">Perform RCA </t>
  </si>
  <si>
    <t>Perform RCA</t>
  </si>
  <si>
    <t>View RCA details</t>
  </si>
  <si>
    <t>Approve/ Reject buttons</t>
  </si>
  <si>
    <t>By clicking on approve an Approve Confirmation pop up message will appear. Click Approve to proceed or click Cancel and close icon will dismiss the current screen display.</t>
  </si>
  <si>
    <t>Display Notification on Approve/reject</t>
  </si>
  <si>
    <t>If RCA submitted was approved “RCA submitted successfully approved.”  and if rejwected “RCA submitted successfully Rejected"</t>
  </si>
  <si>
    <t xml:space="preserve">Contains all reports for below modules.  </t>
  </si>
  <si>
    <t>Observation Report</t>
  </si>
  <si>
    <t xml:space="preserve">Create new sceen with UI Navigation (Header,home,Back,Menu)Display Table listing  details of Region, Sites, Observers, Date Observed, Area Observed, Task Observed.
Each column listing can be sorted using the sorting icon beside each table column title
Filter search and clear function
Export report Icon </t>
  </si>
  <si>
    <t>RCA Report</t>
  </si>
  <si>
    <t xml:space="preserve">Create new sceen with UI Navigation (Header,home,Back,Menu) ,Display Table listing  details ofof Date Period, Site, Performed by, location and Status.
Each column listing can be sorted using the sorting icon beside each table column title
Filter search and clear function
Export report Icon </t>
  </si>
  <si>
    <t>Effectiveness Report</t>
  </si>
  <si>
    <t xml:space="preserve">Create new sceen with UI Navigation (Header,home,Back,Menu), Display Table listing  details of Period, Sites, Region, Critical Behaviour, Target Number of Answers, Actual Number of Answers, YES/NO/NA count, % Safe Behaviour and % Unsafe Behaviour. 
Each column listing can be sorted using the sorting icon beside each table column title
Filter search and clear function
Export report Icon </t>
  </si>
  <si>
    <t>Observation Compliance Report</t>
  </si>
  <si>
    <t xml:space="preserve">Create new sceen with UI Navigation (Header,home,Back,Menu), Display Table listing  details of Period, Site, Region, Critical Behavior, Target Number of Answers, Actual Number of Answers, YES/NO/NA count, % Safe Behavior and % Unsafe Behavior.
Each column listing can be sorted using the sorting icon beside each table column title.
Filter search and clear function
Export report Icon </t>
  </si>
  <si>
    <t>BBS Compliance Report</t>
  </si>
  <si>
    <t xml:space="preserve">Create new sceen with UI Navigation (Header,home,Back,Menu),Display Table listing  details of Region, Plant, Period, Observation Compliance, % Observation, Unsafe Behavior, % Reduction, % Effectiveness, BBS Compliance for the Period and YTD BBS Compliance.
Each column listing can be sorted using the sorting icon beside each table column title
Filter search and clear function
Export report Icon </t>
  </si>
  <si>
    <t>Admin Screen</t>
  </si>
  <si>
    <t xml:space="preserve">Admin Site-Maintaince </t>
  </si>
  <si>
    <t xml:space="preserve">Admin Site contains below sub-tab </t>
  </si>
  <si>
    <t>Questions</t>
  </si>
  <si>
    <t>Create new sceen with UI Navigation (Header,home,Back,Menu) ,Display List of Questions
Edit/Deactive question
Add new question</t>
  </si>
  <si>
    <t>445 Calendar</t>
  </si>
  <si>
    <t>Create new sceen with UI Navigation (Header,home,Back,Menu), Display List Year, Period, Week, Start Date, and End date. 
Table be filtered by period and sorted per column. 
Download/Upload button to Download/Upload calendar</t>
  </si>
  <si>
    <t>Target Definition</t>
  </si>
  <si>
    <t>Create new sceen with UI Navigation (Header,home,Back,Menu), displays Year, National BBS Compliance Target (%), Weekly Observation Target per user,  Weekly Observation Target effectivity date and Action. Table be filtered by period and sorted per column. Add New Target, Edit target</t>
  </si>
  <si>
    <t>User Maintenance</t>
  </si>
  <si>
    <t>(Can be done for roles is sharepoint)</t>
  </si>
  <si>
    <t>Create new sceen with UI Navigation (Header,home,Back,Menu), Table listing displays Name, Email Address, Site, User Role, Date Added, Last Access, Active and Action. Filter and sort by columns. Add New User, edit/delete user role. Activate or deactivate users.</t>
  </si>
  <si>
    <t>User Activation History</t>
  </si>
  <si>
    <t>Table listing displays User, Is Active Status, Site, User Role, Created Date, Date Added. Sort and filter by columns. Edit history</t>
  </si>
  <si>
    <t xml:space="preserve">Unit Maintenance </t>
  </si>
  <si>
    <t xml:space="preserve">Create new sceen with UI Navigation (Header,home,Back,Menu), Table listing displays Name of Unit, Date Added, Active Status and Action. Filter and search. Add new Unit, Edit unit </t>
  </si>
  <si>
    <t>Unit Detail Maintenance</t>
  </si>
  <si>
    <t xml:space="preserve">Create new sceen with UI Navigation (Header,home,Back,Menu), 3 sub Units-Commercial unit, Logistic unit and Manufacturing Unit.                                                           For each unit Filter and search. Add new Unit, Edit unit </t>
  </si>
  <si>
    <t>Power Automate flows</t>
  </si>
  <si>
    <t>Email Notification</t>
  </si>
  <si>
    <t>Create a power automate flow for email notifications</t>
  </si>
  <si>
    <t>Export to excel</t>
  </si>
  <si>
    <t>create power automate flow to export the gallery etails</t>
  </si>
  <si>
    <t>2. Driver - Behavior Based Safety Application</t>
  </si>
  <si>
    <t xml:space="preserve">Sharepoint </t>
  </si>
  <si>
    <t>Dashboard screen</t>
  </si>
  <si>
    <t>Submission per site bar graph</t>
  </si>
  <si>
    <t>Search and Filters</t>
  </si>
  <si>
    <t xml:space="preserve">Banner with Notification message </t>
  </si>
  <si>
    <t>Reports Home</t>
  </si>
  <si>
    <t>Reports Tab</t>
  </si>
  <si>
    <t>Create new Screen UI for three categories (Observations, Effectiveness and Observation Compliance)</t>
  </si>
  <si>
    <t>Create search and filters</t>
  </si>
  <si>
    <t>Create a New UI navigation gallery in Reports Screen</t>
  </si>
  <si>
    <t>Create a button to download excel of the current report which is displayed in the gallery</t>
  </si>
  <si>
    <t>The gallery contains following columns (Region, Site, Reviewer, Date Reviewed and Driver)</t>
  </si>
  <si>
    <t>The gallery contains following columns (Period, Site, Region, Critical Behavior, Target Number of Answers, Actual Number of Answers, YES/NO/NA count, % Safe Behavior and % Unsafe Behavior)</t>
  </si>
  <si>
    <t>The gallery contains following columns (Period, Site, Region, Reviewer Name, Target Compliance, Observation Compliance, Target Number of Answers, Actual Number of Answers, YES/NO/NA count, % Safe Behavior and % Unsafe Behavior. )</t>
  </si>
  <si>
    <t>Admin Site</t>
  </si>
  <si>
    <t>Create a dropdown menu containing(Admin site,Questions,Driver and Target Definition)</t>
  </si>
  <si>
    <t>Question Option</t>
  </si>
  <si>
    <t>Create New navigation And UI with a Gallery</t>
  </si>
  <si>
    <t>Create a Button to Add Questions</t>
  </si>
  <si>
    <t>Create a Active Button and a Action button in the gallery</t>
  </si>
  <si>
    <t>Create a Pop up onclick on of add question</t>
  </si>
  <si>
    <t>Create a text box inside the popupand a save button to save the edited/new question</t>
  </si>
  <si>
    <t>Driver List</t>
  </si>
  <si>
    <t>Create a Button to Add Driver</t>
  </si>
  <si>
    <t>Create a Pop up onclick on of add Driver</t>
  </si>
  <si>
    <t>Create a text box for last name, first name, middle name, dropdown for region and dropdown for site and a save button to save the edited/new driver</t>
  </si>
  <si>
    <t>Create a download driver template option whhere an excel will be downloaded containing the template</t>
  </si>
  <si>
    <t>Create a Bulk upload button which will use the same template file as an input for bulk upload of Driver</t>
  </si>
  <si>
    <t>Create a popup for this Bulk upload and create a attachment option to place the template file and Create a upload button</t>
  </si>
  <si>
    <t>Create New navigation And UI with a Gallery and a Add Target Button</t>
  </si>
  <si>
    <t>Create Columns with name (Target definition listing displays Year, Period, Week, Punch Card Compliance Target (%), Weekly Observation Target per user, Week Start date, Week End Date and Action.) Action column will be the edit button inside gallery</t>
  </si>
  <si>
    <t>Create a pop up on click of add target and create the same field inside the columns</t>
  </si>
  <si>
    <t>create power automate flow to export the gallery details</t>
  </si>
  <si>
    <t>3. Safety Officer (GMP) Aplication</t>
  </si>
  <si>
    <t>Powerapps</t>
  </si>
  <si>
    <t>Create a new UI screen and Navigation whch contains header columns as Main menu, Dashboard, Home, Observations, RCA, Reports,Admin site</t>
  </si>
  <si>
    <t>Create a MU BBS Compliance per plant bar graph and MU Average BBS Compliance per calendar period line graph</t>
  </si>
  <si>
    <t xml:space="preserve">Power BI </t>
  </si>
  <si>
    <t>Create a BBS MU Compliance per calendar period that displays a line graph which shows BBS compliance score of specific assigned plant as of current period.</t>
  </si>
  <si>
    <t>Home screen</t>
  </si>
  <si>
    <t>Home Screen</t>
  </si>
  <si>
    <t>Create Home tab with new UI and navigation</t>
  </si>
  <si>
    <t xml:space="preserve">Crate a banner with  notifictaion message for safety officer, conduct Observation Button and recent observations table list columns: Observer name, Observation Date, Plant, Task Observed and Area Observed. </t>
  </si>
  <si>
    <t>Add No items to show.” message display when no recent observations were added or available.</t>
  </si>
  <si>
    <t>Observations</t>
  </si>
  <si>
    <t>Create New UI and Navigation with a Conduct Observation button</t>
  </si>
  <si>
    <t>Create a shop checklist screen with new Navigation and UI</t>
  </si>
  <si>
    <t>Shop checklist screen should contain Observer name , date observed plant, task observed, area observed</t>
  </si>
  <si>
    <t>Create Yes/NO buttons for the following fields (Using appropriate tools, Always "Eyes on path", Safe position and location, Rightway of lifting, Following SOPs, Always 3 point contact, test, new test questions</t>
  </si>
  <si>
    <t>Create a commendation field in text box given below the form</t>
  </si>
  <si>
    <t>Create a Coaching provided field in text box</t>
  </si>
  <si>
    <t>Create a Unsafe Condition Note field in text box</t>
  </si>
  <si>
    <t>Create a submit buton to submit the checklist</t>
  </si>
  <si>
    <t>RCA</t>
  </si>
  <si>
    <t>Create new screen with UI Naviation</t>
  </si>
  <si>
    <t xml:space="preserve">Gallery to display column date period, plant, performed by, location, status and action </t>
  </si>
  <si>
    <t>Sort function beside each coloumn name</t>
  </si>
  <si>
    <t>Edit RCA screen</t>
  </si>
  <si>
    <t>Save as draft option</t>
  </si>
  <si>
    <t>Create new RCA option</t>
  </si>
  <si>
    <t>Add button to add new action plan</t>
  </si>
  <si>
    <t>Acitvate/deactivate action plan</t>
  </si>
  <si>
    <t>Edit /delete action plan</t>
  </si>
  <si>
    <t>Pop up for confrimation</t>
  </si>
  <si>
    <t>Submit function</t>
  </si>
  <si>
    <t>Reports Screen contains all reports tab available in the system such as Observations, RCA, Effectiveness, Observation Compliance and BBS Compliance.</t>
  </si>
  <si>
    <t>Observations Report</t>
  </si>
  <si>
    <t xml:space="preserve">Create new UI navigation screen With Gallery which dispalys Region,Site Observer, Date Observed,Area Onserved and Task Observed </t>
  </si>
  <si>
    <t>Sort and filter of each coloumn</t>
  </si>
  <si>
    <t>Clear button o reset or clear filter</t>
  </si>
  <si>
    <t>Button to export gallery details to excel report</t>
  </si>
  <si>
    <t xml:space="preserve">Create new UI navigation screen With Gallery which dispalys of Date Period, Plant, Performed By, Location and Status. </t>
  </si>
  <si>
    <t>Effectiveess Report</t>
  </si>
  <si>
    <t>Create new UI navigation screen With Gallery which dispalys of Period, Plant, Region, Critical Behavior, Target Number of Answers, Actual Number of Answers, YES/NO/NA count, % Safe Behavior and % Unsafe Behavior</t>
  </si>
  <si>
    <t xml:space="preserve">Create new UI navigation screen With Gallery which dispalys of Period, Site, Region, Critical Behavior, Target Number of Answers, Actual Number of Answers, YES/NO/NA count, % Safe Behavior and % Unsafe Behavior. </t>
  </si>
  <si>
    <t>BS Compliance Report</t>
  </si>
  <si>
    <t xml:space="preserve">displays table with details of Region, Plant, Period, Observation Compliance, % Observation, Unsafe Behavior, % Reduction, % Effectiveness, BBS Compliance for the Period and YTD BBS Compliance. </t>
  </si>
  <si>
    <t xml:space="preserve">Filter and search </t>
  </si>
  <si>
    <t>Button to export to excel report</t>
  </si>
  <si>
    <t>Admin screen</t>
  </si>
  <si>
    <t>User Maintainace</t>
  </si>
  <si>
    <t>Create New Ui navigation screen</t>
  </si>
  <si>
    <t>Gallery to show user name , emai, role. date added, last access, etc</t>
  </si>
  <si>
    <t xml:space="preserve">Search and Sort filter </t>
  </si>
  <si>
    <t>Toggle to active deactive user</t>
  </si>
  <si>
    <t>Hours (Dev1 + Dev 2)</t>
  </si>
  <si>
    <t>Days</t>
  </si>
  <si>
    <t>Total Development hours</t>
  </si>
  <si>
    <t>Total Testing Hours</t>
  </si>
  <si>
    <t>Requirement Gathering Hours</t>
  </si>
  <si>
    <t>Data Migration</t>
  </si>
  <si>
    <t>Go live</t>
  </si>
  <si>
    <t>Form Name</t>
  </si>
  <si>
    <t>Dev in days</t>
  </si>
  <si>
    <t xml:space="preserve">Announcement </t>
  </si>
  <si>
    <t>Mobile Application</t>
  </si>
  <si>
    <t>Announcement Details</t>
  </si>
  <si>
    <r>
      <rPr>
        <b/>
        <sz val="11"/>
        <color rgb="FF000000"/>
        <rFont val="Aptos Narrow"/>
        <scheme val="minor"/>
      </rPr>
      <t xml:space="preserve">Weekly Planner
</t>
    </r>
    <r>
      <rPr>
        <sz val="11"/>
        <color rgb="FF000000"/>
        <rFont val="Aptos Narrow"/>
        <scheme val="minor"/>
      </rPr>
      <t>-Schedule sessions for the riders
-Create a new session
-Select drivers
-Color coded for drivers for threshold criteria
-Calendar view of all schedules</t>
    </r>
  </si>
  <si>
    <t xml:space="preserve">DSP Route Ride </t>
  </si>
  <si>
    <r>
      <rPr>
        <b/>
        <sz val="11"/>
        <color rgb="FF000000"/>
        <rFont val="Calibri"/>
      </rPr>
      <t xml:space="preserve">Dashboard
</t>
    </r>
    <r>
      <rPr>
        <sz val="11"/>
        <color rgb="FF000000"/>
        <rFont val="Calibri"/>
      </rPr>
      <t xml:space="preserve">-Date filters
-Search
-Dashboard reports of all outlets that answers yes to the survey
-Click graph to show survey result for the outlets </t>
    </r>
  </si>
  <si>
    <r>
      <rPr>
        <b/>
        <sz val="11"/>
        <color rgb="FF000000"/>
        <rFont val="Calibri"/>
      </rPr>
      <t xml:space="preserve">Team Profile
</t>
    </r>
    <r>
      <rPr>
        <sz val="11"/>
        <color rgb="FF000000"/>
        <rFont val="Calibri"/>
      </rPr>
      <t>- DSP Rider information
-Summary, Current Performance, Timeline</t>
    </r>
  </si>
  <si>
    <t>Route Ride Session</t>
  </si>
  <si>
    <r>
      <rPr>
        <b/>
        <sz val="11"/>
        <color rgb="FF000000"/>
        <rFont val="Calibri"/>
      </rPr>
      <t xml:space="preserve">Start session
</t>
    </r>
    <r>
      <rPr>
        <sz val="11"/>
        <color rgb="FF000000"/>
        <rFont val="Calibri"/>
      </rPr>
      <t>-DSP Attendance form
-Outlets selection (Choice)
- Action items (Yes/No)
Session Summary
-4 input fields
Further Remarks
Remarks
Input fields (Opportunities, Next Steps, Remarks etc.)
Signature (can be desinatory digital signature or signature using pen input)
End Session</t>
    </r>
  </si>
  <si>
    <r>
      <rPr>
        <b/>
        <sz val="11"/>
        <color rgb="FF000000"/>
        <rFont val="Calibri"/>
      </rPr>
      <t xml:space="preserve">Summary
</t>
    </r>
    <r>
      <rPr>
        <sz val="11"/>
        <color rgb="FF000000"/>
        <rFont val="Calibri"/>
      </rPr>
      <t>-opportunities (Dynamic input fields)
Current Performance
-Training objectives etc.
Timeline
-Past activity
-Audit logs like feature
-Calendar view and click to view the activity</t>
    </r>
  </si>
  <si>
    <t>AAA+ Survey</t>
  </si>
  <si>
    <t>5 category reports (Available, Alam na meron, Ayos ang presyo, Dapat Malamig, Tottal AAA+ score)
-Date filter
-View Survey results</t>
  </si>
  <si>
    <t>Survey Form</t>
  </si>
  <si>
    <t xml:space="preserve">Driver can only see this screen if they have a session scheduled
-Display an info message
Choose outlets and answer the form
Form design is multiple input fields </t>
  </si>
  <si>
    <t>Survey Results</t>
  </si>
  <si>
    <t>2 Tab unsyn and sync
AAA+ and Glass survey review
Sync all survey/ Sync today</t>
  </si>
  <si>
    <t>Enroll Outlet</t>
  </si>
  <si>
    <t>Outlet Enrollment</t>
  </si>
  <si>
    <t>Fill form to enroll and outlet</t>
  </si>
  <si>
    <t>Outlets</t>
  </si>
  <si>
    <t>Outlet results (sync, unsyn tab to view each)
Unsyc may be edited</t>
  </si>
  <si>
    <t>AD Dashboard</t>
  </si>
  <si>
    <t>Power BI</t>
  </si>
  <si>
    <t>Need to understand if any modifications required or data can be directly connected</t>
  </si>
  <si>
    <t>Survey Questions</t>
  </si>
  <si>
    <t>Web Application</t>
  </si>
  <si>
    <t>AAA+/Glass survey</t>
  </si>
  <si>
    <t>Survey Forms
Searching questions
Add New
-Name
-Questions (ability to add)
-Question forms (This is dynamic needs to check)
preview
Delete
Status (currently as colored icons)
Edit</t>
  </si>
  <si>
    <t>Survey Reasons</t>
  </si>
  <si>
    <t>Add survey reasons
Search
*Similar to survey forms in functionality</t>
  </si>
  <si>
    <t>Survey Schedule</t>
  </si>
  <si>
    <t>Add schedule
-New schedule form
-Criterias and rules on some fields
Upload Schedule
-As per the export excel file format
Filters/search/reset etc.
-Download functonality
Export to excel functionality (Could be power automate connected to SP)</t>
  </si>
  <si>
    <t>Report</t>
  </si>
  <si>
    <t>Data dashboard similar to survey forms
Export/Download to excel functionality
Filters
Views</t>
  </si>
  <si>
    <t>Route Ride</t>
  </si>
  <si>
    <t>Similar to AAA survey questions
All survey questions inputted here will be input in the AAA survey questions</t>
  </si>
  <si>
    <t>Route Ride Threshold criteria</t>
  </si>
  <si>
    <t>Configuration data
Admin configurations for survey data criteria</t>
  </si>
  <si>
    <t>Objectives</t>
  </si>
  <si>
    <t>Objective data view
Add new</t>
  </si>
  <si>
    <t>Route Ride Report</t>
  </si>
  <si>
    <t>Data view  of all route ride results
Filters, search
Export summary (From route ride dashboard)
Export functionality</t>
  </si>
  <si>
    <t>Glass Survey</t>
  </si>
  <si>
    <t>Survey Forms
Searching questions
Add new
preview
Delete
Status (currently as colored icons)
Edit</t>
  </si>
  <si>
    <t>Survey Frequency</t>
  </si>
  <si>
    <t>Data view to view next visit for AAA and glass
Filters
Seach
Reset</t>
  </si>
  <si>
    <t>DSP Attendance</t>
  </si>
  <si>
    <t>Similar to Survey reports/questions with data view
All reports from mobile app
Export funcitonality</t>
  </si>
  <si>
    <t>Enrolled outlets</t>
  </si>
  <si>
    <t>Similar to DSP reports/questions with data view
All reports from mobile app
Export funcitonality</t>
  </si>
  <si>
    <t>Announcements</t>
  </si>
  <si>
    <t>Data view
Add announcements
-Form to add new
-Image upload
Upload
Edit
Delete
Export
Filters/Search etc.
Download template (This can be done backend)</t>
  </si>
  <si>
    <t>Survey Limit</t>
  </si>
  <si>
    <t>Data View
Create New
-Form to add new</t>
  </si>
  <si>
    <t>Email Notifications</t>
  </si>
  <si>
    <t>DB Configuration</t>
  </si>
  <si>
    <t>DEV (Hours)</t>
  </si>
  <si>
    <t xml:space="preserve"> QA Tester</t>
  </si>
  <si>
    <t>Mock Up  Screens</t>
  </si>
  <si>
    <t>Prepare Mockup Screens</t>
  </si>
  <si>
    <t>Create the Mockup Screens for all features</t>
  </si>
  <si>
    <t>Sharepoint Site creation- Backend</t>
  </si>
  <si>
    <t xml:space="preserve">Login </t>
  </si>
  <si>
    <t>Create New Screen for to Login as Roles</t>
  </si>
  <si>
    <t>Banner, login button</t>
  </si>
  <si>
    <t>Bug fixig</t>
  </si>
  <si>
    <t>Admin Home</t>
  </si>
  <si>
    <t>Admin Home Screen</t>
  </si>
  <si>
    <t>Create New screen with UI Navigations</t>
  </si>
  <si>
    <t>Create Gallery to show the Master List of Vechiles details</t>
  </si>
  <si>
    <t>Create Search and Sorting Function based of Insurance type</t>
  </si>
  <si>
    <t xml:space="preserve">Maintenance Modules
</t>
  </si>
  <si>
    <t xml:space="preserve">                                                                                                            Create New Screen to Add/Update Below Modules</t>
  </si>
  <si>
    <t>Users</t>
  </si>
  <si>
    <t>users (Requestor,Broker,Claim Approver, Loa Approver) can be created, this consists of search by filter, reset and action which includes edit and delete.</t>
  </si>
  <si>
    <t>Testing and Bug fixig</t>
  </si>
  <si>
    <t>Claims</t>
  </si>
  <si>
    <t>Claims Documents</t>
  </si>
  <si>
    <t xml:space="preserve">Search, filter, to create new documnet type. </t>
  </si>
  <si>
    <t>Service Centers</t>
  </si>
  <si>
    <t>Service centers</t>
  </si>
  <si>
    <t>search, reset and to create new service center which also includes the action of edit and delete</t>
  </si>
  <si>
    <t>Adjusters</t>
  </si>
  <si>
    <t xml:space="preserve">Actions including edit, delete and create new adjusters. Search and filter </t>
  </si>
  <si>
    <t>Regions</t>
  </si>
  <si>
    <t>Add new ,delete,Edit Regions. Search and filter fuction</t>
  </si>
  <si>
    <t>Plants</t>
  </si>
  <si>
    <t xml:space="preserve"> Plants</t>
  </si>
  <si>
    <t>Add new ,delete,  Edit Plants.             Search and filter fuction</t>
  </si>
  <si>
    <t>Vechile Types</t>
  </si>
  <si>
    <t xml:space="preserve"> Vehicle types</t>
  </si>
  <si>
    <t>Add new, delete, Edit Vechile type. Search and filter fuction</t>
  </si>
  <si>
    <t>Asset Class</t>
  </si>
  <si>
    <t>Asset class</t>
  </si>
  <si>
    <t>Add new, delete, Edit Asset class. Search and filter fuction</t>
  </si>
  <si>
    <t>Requestor Screen</t>
  </si>
  <si>
    <t>Gallery list to show cliams submitted</t>
  </si>
  <si>
    <t>Create Search for claims based on data range</t>
  </si>
  <si>
    <t>Button to create a claim</t>
  </si>
  <si>
    <t>Create form - Includes Motor vehicle, Claim type and Documents</t>
  </si>
  <si>
    <t>Submit function to save the details</t>
  </si>
  <si>
    <t>View Screen</t>
  </si>
  <si>
    <t>View the claim form</t>
  </si>
  <si>
    <t>Can edit/upload document</t>
  </si>
  <si>
    <t>Approver</t>
  </si>
  <si>
    <t>Approve /Reject button with popup</t>
  </si>
  <si>
    <t>PowerBI</t>
  </si>
  <si>
    <t>Dashborad Screen</t>
  </si>
  <si>
    <t>To display chart of settled claim and outstanding claim</t>
  </si>
  <si>
    <t>Power Automate Flow</t>
  </si>
  <si>
    <t>Email Notification flows</t>
  </si>
  <si>
    <t>Email Notifiation on submission of claim request</t>
  </si>
  <si>
    <t>Email notification on Appove rejects actions</t>
  </si>
  <si>
    <t>Email flow to extract file from sftp folder</t>
  </si>
  <si>
    <t xml:space="preserve">Motor vehicles (vehicles are managed), where they get data synced with SAP via SFTP and can edit the details.
Two files are extracted which includes Asset and Equipment where Asset consists of identification number (asset number) and Equipment consists of vehicle information.
</t>
  </si>
  <si>
    <t>Total Hours</t>
  </si>
  <si>
    <t>Total dev Days</t>
  </si>
  <si>
    <t>Total hours/DAYS</t>
  </si>
  <si>
    <t>DI</t>
  </si>
  <si>
    <t>Monthly Cost</t>
  </si>
  <si>
    <t>Mobile Dev</t>
  </si>
  <si>
    <t>Customer Login</t>
  </si>
  <si>
    <t>Get Link</t>
  </si>
  <si>
    <t>Update Details</t>
  </si>
  <si>
    <t>Verify and Login</t>
  </si>
  <si>
    <t>Forgot Password</t>
  </si>
  <si>
    <t>Back to email</t>
  </si>
  <si>
    <t>SSO Integration</t>
  </si>
  <si>
    <t>Admin Dashbaord</t>
  </si>
  <si>
    <t>Menu</t>
  </si>
  <si>
    <t>List View</t>
  </si>
  <si>
    <t>Admin Portal</t>
  </si>
  <si>
    <t>Config Setup</t>
  </si>
  <si>
    <t>Admin User Setup</t>
  </si>
  <si>
    <t>Reset</t>
  </si>
  <si>
    <t>Add Existing User</t>
  </si>
  <si>
    <t xml:space="preserve">   List view</t>
  </si>
  <si>
    <t xml:space="preserve">   Add all</t>
  </si>
  <si>
    <t xml:space="preserve">   Cancel</t>
  </si>
  <si>
    <t>Remove</t>
  </si>
  <si>
    <t>Role Details Setup</t>
  </si>
  <si>
    <t>Auto Create Role Setup</t>
  </si>
  <si>
    <t>Save</t>
  </si>
  <si>
    <t>Route Code Email Setup</t>
  </si>
  <si>
    <t>General Trade</t>
  </si>
  <si>
    <t>Select File &amp; Import Data</t>
  </si>
  <si>
    <t>Download Data</t>
  </si>
  <si>
    <t>Setup Data</t>
  </si>
  <si>
    <t>Modern Trade</t>
  </si>
  <si>
    <t>Expand Details</t>
  </si>
  <si>
    <t>Quick Logs</t>
  </si>
  <si>
    <t>View</t>
  </si>
  <si>
    <t>Trigger Audit Log Time</t>
  </si>
  <si>
    <t>Schedular</t>
  </si>
  <si>
    <t>Internal Users/Intenal Roles</t>
  </si>
  <si>
    <t>Download All Users</t>
  </si>
  <si>
    <t>View Users</t>
  </si>
  <si>
    <t>Add</t>
  </si>
  <si>
    <t>Back</t>
  </si>
  <si>
    <t xml:space="preserve">Add </t>
  </si>
  <si>
    <t>Special</t>
  </si>
  <si>
    <t>Approvers</t>
  </si>
  <si>
    <t>Select File</t>
  </si>
  <si>
    <t>Upload File</t>
  </si>
  <si>
    <t>Download Template</t>
  </si>
  <si>
    <t>Download Records</t>
  </si>
  <si>
    <t>Clear Records</t>
  </si>
  <si>
    <t>Trade</t>
  </si>
  <si>
    <t>Finance</t>
  </si>
  <si>
    <t>Approval Metrix</t>
  </si>
  <si>
    <t>Credit Application</t>
  </si>
  <si>
    <t>Add/Edit</t>
  </si>
  <si>
    <t>Load Details</t>
  </si>
  <si>
    <t>Actions</t>
  </si>
  <si>
    <t>Updater Application</t>
  </si>
  <si>
    <t>Reinstatement Application</t>
  </si>
  <si>
    <t>Trade Sub Types</t>
  </si>
  <si>
    <t>Add New</t>
  </si>
  <si>
    <t>File Types</t>
  </si>
  <si>
    <t>Business Reasons</t>
  </si>
  <si>
    <t>Add New /Edit</t>
  </si>
  <si>
    <t>Channel Types</t>
  </si>
  <si>
    <t>Add New/Edit</t>
  </si>
  <si>
    <t xml:space="preserve">Market Shares </t>
  </si>
  <si>
    <t>Business Requirements</t>
  </si>
  <si>
    <t>Upload Files</t>
  </si>
  <si>
    <t>Sole Proprietorship</t>
  </si>
  <si>
    <t>Corporation</t>
  </si>
  <si>
    <t>Corporative</t>
  </si>
  <si>
    <t>Reinstatement History</t>
  </si>
  <si>
    <t>Import</t>
  </si>
  <si>
    <t>Template</t>
  </si>
  <si>
    <t>Export to Excel</t>
  </si>
  <si>
    <t>Generate Report</t>
  </si>
  <si>
    <t>CAF Application - Customer</t>
  </si>
  <si>
    <t>View CAF</t>
  </si>
  <si>
    <t>New /Update Credit application</t>
  </si>
  <si>
    <t>Basic Information</t>
  </si>
  <si>
    <t>References</t>
  </si>
  <si>
    <t>Upload Signature</t>
  </si>
  <si>
    <t>Audit Trail</t>
  </si>
  <si>
    <t>CAF Application - Approver</t>
  </si>
  <si>
    <t>Review/Endorsement</t>
  </si>
  <si>
    <t>New Reinstatement Application</t>
  </si>
  <si>
    <t>Approver View</t>
  </si>
  <si>
    <t>Customer Management</t>
  </si>
  <si>
    <t>Select File for mass upload</t>
  </si>
  <si>
    <t>Download all customers</t>
  </si>
  <si>
    <t>Mass upload customers</t>
  </si>
  <si>
    <t>Basic Requirementss</t>
  </si>
  <si>
    <t>Reference and Requirements</t>
  </si>
  <si>
    <t>Next</t>
  </si>
  <si>
    <t>Email Functionality</t>
  </si>
  <si>
    <t>Windows Schedular</t>
  </si>
  <si>
    <t>Logo &amp; Menu</t>
  </si>
  <si>
    <t>Authentication &amp; Authorization</t>
  </si>
  <si>
    <t>Login Lable</t>
  </si>
  <si>
    <t>Logo</t>
  </si>
  <si>
    <t>Extract</t>
  </si>
  <si>
    <t>Logout</t>
  </si>
  <si>
    <t>App Menu items</t>
  </si>
  <si>
    <t>Certificates</t>
  </si>
  <si>
    <t>Login Feature</t>
  </si>
  <si>
    <t>Preview</t>
  </si>
  <si>
    <t>Remember Me</t>
  </si>
  <si>
    <t>Vendors</t>
  </si>
  <si>
    <t>Bulk Upload</t>
  </si>
  <si>
    <t>Edit</t>
  </si>
  <si>
    <t>Maintenence</t>
  </si>
  <si>
    <t>Users List</t>
  </si>
  <si>
    <t>Create User</t>
  </si>
  <si>
    <t>Download</t>
  </si>
  <si>
    <t>Edit User</t>
  </si>
  <si>
    <t>Audit Lots</t>
  </si>
  <si>
    <t>CWT Changes</t>
  </si>
  <si>
    <t>Tax Codes</t>
  </si>
  <si>
    <t>Create Vendor</t>
  </si>
  <si>
    <t xml:space="preserve"> Bulk Upload</t>
  </si>
  <si>
    <t>Exxtract Vendors</t>
  </si>
  <si>
    <t>Create Tax Codes</t>
  </si>
  <si>
    <t>Edit Vendor</t>
  </si>
  <si>
    <t>Cancel</t>
  </si>
  <si>
    <t>Maintainance</t>
  </si>
  <si>
    <t>Delete User</t>
  </si>
  <si>
    <t>Company Codes</t>
  </si>
  <si>
    <t>Create Company</t>
  </si>
  <si>
    <t>Edit Company</t>
  </si>
  <si>
    <t>SFTP Settings</t>
  </si>
  <si>
    <t>Custom Calendar</t>
  </si>
  <si>
    <t>CWT Custom Template</t>
  </si>
  <si>
    <t>Create Tax Code</t>
  </si>
  <si>
    <t>Edit Tax Code</t>
  </si>
  <si>
    <t>Upload From File</t>
  </si>
  <si>
    <t>Extract to Excel</t>
  </si>
  <si>
    <t>Epic</t>
  </si>
  <si>
    <t>SSO</t>
  </si>
  <si>
    <t>Print Logs</t>
  </si>
  <si>
    <t>Password Change</t>
  </si>
  <si>
    <t>Approver Logs</t>
  </si>
  <si>
    <t>Email Logs</t>
  </si>
  <si>
    <t>Invoice Logs</t>
  </si>
  <si>
    <t>Total Count of Invoices</t>
  </si>
  <si>
    <t>Maintenance</t>
  </si>
  <si>
    <t>Total amount due</t>
  </si>
  <si>
    <t>total count of re-print</t>
  </si>
  <si>
    <t>Total count of pending</t>
  </si>
  <si>
    <t>Search - Location filter</t>
  </si>
  <si>
    <t>Bulk Add</t>
  </si>
  <si>
    <t>Search - Dare filter</t>
  </si>
  <si>
    <t>Select</t>
  </si>
  <si>
    <t>Filter Report</t>
  </si>
  <si>
    <t>Export Report</t>
  </si>
  <si>
    <t>Report  List View</t>
  </si>
  <si>
    <t>Print Log</t>
  </si>
  <si>
    <t>Filter Search</t>
  </si>
  <si>
    <t>Approver Log</t>
  </si>
  <si>
    <t>Email Log</t>
  </si>
  <si>
    <t>Invoice Log</t>
  </si>
  <si>
    <t>Search Filter</t>
  </si>
  <si>
    <t>Approvers without location</t>
  </si>
  <si>
    <t>Upload file</t>
  </si>
  <si>
    <t>Add Approver</t>
  </si>
  <si>
    <t>Personal Information</t>
  </si>
  <si>
    <t>Additional Information</t>
  </si>
  <si>
    <t>User Status</t>
  </si>
  <si>
    <t>Approver Type</t>
  </si>
  <si>
    <t>Add Locarion</t>
  </si>
  <si>
    <t>List Location</t>
  </si>
  <si>
    <t>Edit Approver</t>
  </si>
  <si>
    <t>Add Customer</t>
  </si>
  <si>
    <t>Activate</t>
  </si>
  <si>
    <t>De-Activate</t>
  </si>
  <si>
    <t>Bulk upload</t>
  </si>
  <si>
    <t>Add Customer Group</t>
  </si>
  <si>
    <t>Edit Customer</t>
  </si>
  <si>
    <t>Customer Group Entries UI</t>
  </si>
  <si>
    <t>Send Email</t>
  </si>
  <si>
    <t>Send Notification</t>
  </si>
  <si>
    <t>Send SMS</t>
  </si>
  <si>
    <t>Win Schedular</t>
  </si>
  <si>
    <t>Add Unit</t>
  </si>
  <si>
    <t>Add Invoice Footer</t>
  </si>
  <si>
    <t>Edit Invoice Footer</t>
  </si>
  <si>
    <t xml:space="preserve">Add Location </t>
  </si>
  <si>
    <t>Save Location</t>
  </si>
  <si>
    <t>Cancel Location</t>
  </si>
  <si>
    <t>Add Sales Group</t>
  </si>
  <si>
    <t>Edit Sales Group</t>
  </si>
  <si>
    <t>Cancel Sales Group</t>
  </si>
  <si>
    <t>Add Sales Office</t>
  </si>
  <si>
    <t>Edit Sales Office</t>
  </si>
  <si>
    <t>Cancel Sales Office</t>
  </si>
  <si>
    <t>Add Sales Org</t>
  </si>
  <si>
    <t>Edit Sales Org</t>
  </si>
  <si>
    <t>Cancel Sales Org</t>
  </si>
  <si>
    <t>Add Site Admin</t>
  </si>
  <si>
    <t>Edit Site Admin</t>
  </si>
  <si>
    <t>Cancel Site Admin</t>
  </si>
  <si>
    <t>Email and SMS Functinality</t>
  </si>
  <si>
    <t>Login features</t>
  </si>
  <si>
    <t> </t>
  </si>
  <si>
    <t>Forgot password</t>
  </si>
  <si>
    <t>Side Pane</t>
  </si>
  <si>
    <t>Account settings</t>
  </si>
  <si>
    <t>User details</t>
  </si>
  <si>
    <t>Change password</t>
  </si>
  <si>
    <t>Manage users</t>
  </si>
  <si>
    <t>Export</t>
  </si>
  <si>
    <t>List view</t>
  </si>
  <si>
    <t>Add user</t>
  </si>
  <si>
    <t>Add multiple user</t>
  </si>
  <si>
    <t>Download user template</t>
  </si>
  <si>
    <t>Download user assignment template</t>
  </si>
  <si>
    <t>upload file</t>
  </si>
  <si>
    <t>Edit user</t>
  </si>
  <si>
    <t>Cancel &amp; Back</t>
  </si>
  <si>
    <t>User assignment</t>
  </si>
  <si>
    <t>Department</t>
  </si>
  <si>
    <t>Add Department</t>
  </si>
  <si>
    <t>Edit Department</t>
  </si>
  <si>
    <t>Customer group</t>
  </si>
  <si>
    <t>Add customer group</t>
  </si>
  <si>
    <t>Add multiple customer group</t>
  </si>
  <si>
    <t>Download template</t>
  </si>
  <si>
    <t>Edit customer group</t>
  </si>
  <si>
    <t>Territory</t>
  </si>
  <si>
    <t>Add Territory</t>
  </si>
  <si>
    <t>Edit Territory</t>
  </si>
  <si>
    <t>Commericial unit</t>
  </si>
  <si>
    <t>Add commercial unit</t>
  </si>
  <si>
    <t>Add multiple commercial unit</t>
  </si>
  <si>
    <t>Edit  commercial unit</t>
  </si>
  <si>
    <t>Region</t>
  </si>
  <si>
    <t>Add region</t>
  </si>
  <si>
    <t>Add multiple region</t>
  </si>
  <si>
    <t>Download region template</t>
  </si>
  <si>
    <t>Download commericial unit template</t>
  </si>
  <si>
    <t>Download territory data template</t>
  </si>
  <si>
    <t>Sales location</t>
  </si>
  <si>
    <t>Add sales location</t>
  </si>
  <si>
    <t>Add multiple sales location</t>
  </si>
  <si>
    <t>Download sales location template</t>
  </si>
  <si>
    <t>Edit sales location</t>
  </si>
  <si>
    <t>Surveys</t>
  </si>
  <si>
    <t>Survey List View</t>
  </si>
  <si>
    <t>Total Survey</t>
  </si>
  <si>
    <t>Published</t>
  </si>
  <si>
    <t>Draft</t>
  </si>
  <si>
    <t>Expired</t>
  </si>
  <si>
    <t>Closed</t>
  </si>
  <si>
    <t>Duplicate Report</t>
  </si>
  <si>
    <t>Download Export Report</t>
  </si>
  <si>
    <t>Close Survey</t>
  </si>
  <si>
    <t>View Respondents</t>
  </si>
  <si>
    <t>Preview Survey</t>
  </si>
  <si>
    <t>Create Survey</t>
  </si>
  <si>
    <t>Question display</t>
  </si>
  <si>
    <t>Add section</t>
  </si>
  <si>
    <t>Add Question</t>
  </si>
  <si>
    <t>Select type of question</t>
  </si>
  <si>
    <t>Edit question</t>
  </si>
  <si>
    <t>Delete question</t>
  </si>
  <si>
    <t>Change question type</t>
  </si>
  <si>
    <t>Move to section</t>
  </si>
  <si>
    <t>Edit Survey</t>
  </si>
  <si>
    <t>Duplicate survey</t>
  </si>
  <si>
    <t>Close survey</t>
  </si>
  <si>
    <t>View respondents</t>
  </si>
  <si>
    <t>View survey response</t>
  </si>
  <si>
    <t>Preview survey</t>
  </si>
  <si>
    <t>Download survey report</t>
  </si>
  <si>
    <t>Library Category</t>
  </si>
  <si>
    <t>Add library category</t>
  </si>
  <si>
    <t>Edit library category</t>
  </si>
  <si>
    <t>Surveyor List</t>
  </si>
  <si>
    <t>Survey list</t>
  </si>
  <si>
    <t>Syncronized</t>
  </si>
  <si>
    <t>Not Syncronized</t>
  </si>
  <si>
    <t>Submit all response</t>
  </si>
  <si>
    <t>Sync survey list</t>
  </si>
  <si>
    <t>Sync survey respondents</t>
  </si>
  <si>
    <t>Add respone</t>
  </si>
  <si>
    <t>Terms policy</t>
  </si>
  <si>
    <t>Save survey response</t>
  </si>
  <si>
    <t>Manage</t>
  </si>
  <si>
    <t>User Assignment</t>
  </si>
  <si>
    <t>Dash Board</t>
  </si>
  <si>
    <t>Delete</t>
  </si>
  <si>
    <t>Display</t>
  </si>
  <si>
    <t>Dash Board &amp; List View</t>
  </si>
  <si>
    <t>Move Section</t>
  </si>
  <si>
    <t>Change Question</t>
  </si>
  <si>
    <t>Add Section</t>
  </si>
  <si>
    <t>Duplication</t>
  </si>
  <si>
    <t>Close</t>
  </si>
  <si>
    <t>View Responses</t>
  </si>
  <si>
    <t>List Category</t>
  </si>
  <si>
    <t>Mobile App</t>
  </si>
  <si>
    <t>Not syncronized</t>
  </si>
  <si>
    <t>Sync List</t>
  </si>
  <si>
    <t>Add Response</t>
  </si>
  <si>
    <t>Survey Reponse</t>
  </si>
  <si>
    <t>SDM</t>
  </si>
  <si>
    <t>Total Experience:10-12 Years
Agile, Scrum, ITIL &amp; PMP certiffied Technical ManagerReview existing solutions, identify opportunities for continuous improvements, and perform enhancements to systems.
Understand .NET &amp; Cloud systems architecture with high customization and complex business process and recommend/implement scalable solutions.
Manage systems integrations to/from the application and assist in data transfers.
Work with infrastructure team to ensure the public cloud environment is tuned to optimum efficiency.
Manage SLAs and guide the team to triage, identify and recommend technical solutions for fixing issues and enhancements.
Collaborate and work with business and cross-functional teams to identify &amp; implement effective solutions that automates and optimizes system performance and business processes, including scaling cloud-native applications.</t>
  </si>
  <si>
    <t>Total Experience:5-6 Years
Strong proficiency in HTML, CSS, JavaScript, and ASP.NET Razor syntax, Experience with front-end frameworks/libraries (e.g., jQuery, Bootstrap),  Familiarity with responsive web design and mobile-first development,  Knowledge of ASP.NET MVC and ASP.NET Web API,  Understanding of browser developer tools for debugging,  Experience with Visual Studio or other ASP.NET development tools,  Excellent problem-solving and communication skills,  Attention to detail and a strong eye for design, 
 Ability to work both independently and collaboratively in a team environment,  Portfolio of previous web development projects, especially those involving ASP.NET</t>
  </si>
  <si>
    <t>Total Experience:5-6 Years
Collaborate with back-end developers to seamlessly integrate user interfaces with ASP.NET applications,  Create visually appealing and responsive web pages using HTML, CSS, JavaScript, and ASP.NET Razor syntax,  UI/UX Implementation: Transform design concepts into interactive web elements, maintaining design consistency and optimizing user experience, Develop components to display and manipulate data retrieved from ASP.NET APIs or databases, Client-Side Scripting: Write scripts to enhance user interactivity and validate user input,  Cross-Browser Compatibility: Ensure web applications function correctly across various browsers and devices,  Performance Optimization: Optimize web pages for speed and efficiency to minimize load times,  Responsive Design: Implement layouts that adapt to different screen s and resolutions. 
 Code Quality: Write clean, well-documented, and maintainable code following ASP.NET and industry best practices</t>
  </si>
  <si>
    <t>Total Experience:6-8 Years
Proficient in Food and Bevarages industry, retail, wholesale, taxation, Finance and credit applications
Analyzing data, creating FSD, BRD, identifying business processes, and translating business requirements into technical specifications. He/She should communicate with stakeholders to ensure that the business needs are met.</t>
  </si>
  <si>
    <t>Pre-Sales Solution Architect</t>
  </si>
  <si>
    <t>Total Experience:14-18 Years
Pre-Sales Soluiton Achitect having relevant Microsoft Azure architecture, design &amp; delivery experience
Consulting experience with large-scale implementations on Microsoft Azure
Experience in Azure Infra, Networks, Storage, Apps and Azure DevOps
Experience in Creating solutions, presenting and articulating winning prepositions for Microsoft Azure
Well versed with cloud architecture styles and design patterns
Experience in developing cloud migration approaches, defining migration roadmaps and providing estimates
Experience with Azure Resource Manager, Resource Groups, Virtual Networks, Azure Virtual Machines, Azure Blob Storage, PowerShell DSC, Azure Automation, Azure Active Directory, and Azure Site Recovery
Experience in developing and deploying Cloud Native Applications using Azure PaaS Capabilities (App Services Plans, Key Vault, SQL Azure DB, Azure
Functions, Containers, AKS, Logic Apps, Service Bus, Event Grid, API Management)
Experience in Enterprise Integration Technologies such as BizTalk, Azure API Management, Logic Apps, Service Bus
Demonstrates strong analytical and technical problem-solving skills</t>
  </si>
  <si>
    <t xml:space="preserve">Azure Cloud Architecture </t>
  </si>
  <si>
    <t>Total Experience:10-12 Years
Primary Skills: az305, az104 Azure Solution Architect. Azure- Infra, Security, Mornitoring, Data &amp; Storage, Networking, Compute, Analytics, DevSecOps, Web &amp; Mobile, Fabric, ASP.Net Core, PaaS, IaaS, FaaS, SaaS
Secondary: Knowlodege on application migration and modernization, Best Practices, Azure Cost Factors, DR, design, build, implement, and manage Azure systems, while ensuring security, scalability, and dependability.</t>
  </si>
  <si>
    <t>Azue DevOps Engineer</t>
  </si>
  <si>
    <t>Total Experience: 5-7 Years.
AZ400 Certfied DevOps Engineer.
Primary Skills:Proficiency in Azure DevOps or GitHub, continuous integration, continuous delivery, pipelines, and Git version control, Azure Containers
Seconary Skills: , AKS,  PowerShell and Azure CLI, App Services,
Good Knowledge on Azure networking, virtual networks, firewalls, load balancers, and VPNs.</t>
  </si>
  <si>
    <t>Azure .Net Tech Lad</t>
  </si>
  <si>
    <t>Total Experience: 7-9 Years
Primary Skills: Azure Schedular,  Azure Logic App, Azure App Service Plan and App Services, . Net Core, . Net Framework, C#/.Net, ASP.NET, SQL, JavaScript, HTML5, CSS
Secondary Skills: DB Development SQL Server, Azure Storage and MS Defender, Azure Funtions, github
Good to have: SSO integration, PDF generation using ASP.NET Web application,  Azure networking, virtual networks, firewalls, load balancers, and VPNs.</t>
  </si>
  <si>
    <t>Azure .Net Developer</t>
  </si>
  <si>
    <t>Total Experience: 4-5 Years
Primary Skills: Azure Schedular,  Azure Logic App, Azure App Service Plan and App Services, . Net Core, . Net Framework, C#/.Net, ASP.NET, SQL, JavaScript, HTML5, CSS
Secondary Skills: DB Development SQL Server, Azure Storage and MS Defender, Azure Funtions, github
Good to have: SSO integration, PDF generation using ASP.NET Web application,  Azure networking, virtual networks, firewalls, load balancers, and VPNs.</t>
  </si>
  <si>
    <t>Total Yrs of experience: 7-9 years of overall testing experience with a minimum 4 years experience with APIs, mobile and web app testing, Experience of 4 years or higher in Food&amp;Bevarages and Financial services
Test planning: Developing test plans, including the objectives, scope, test levels, test techniques, and resources required
Test strategy development: Devising a comprehensive test strategy that outlines the overall approach to testing the software application, Test case review: Reviewing test cases, Overseeing test execution: Coordinating and overseeing the actual testing activities, Defect management: Managing defects, Reporting: Writing reports, Team management: Allocating tasks to team members, monitoring their progress, and providing guidance and support whenever required</t>
  </si>
  <si>
    <t>Web App Tester</t>
  </si>
  <si>
    <t>Total Yrs of experience: 4-5 years of overall testing experience with a minimum 6 years experience with APIs, mobile and web app testing, Strong ability to execute functional tests on mobile app with Usability / user experience requirements
Experience of 4 years or higher in Food&amp;Bevarages and Financial services</t>
  </si>
  <si>
    <t>Database Admin</t>
  </si>
  <si>
    <t>Total Yrs of experience: 7-9 
Responsible for a database's performance, integrity, and security
Maintain databases with high-availability solutions, replication, backup, restore, encryption, and disaster recovery solutions.
Strong database migration experience, Expertise and experience monitoring Azure workspaces, VM's, VM drives, Memory etc.s
Monitor system's health and performance, Ensure high levels of performance, availability, sustainability and security
Analyze, solve, and correct issues in real time, Provide suggestions for solutions, Refine and automate regular processes, track issues, and document changes, Assist developers with query tuning and schema refinement, Provide 24x7 support for critical production systems, Perform scheduled maintenance and support release deployment activities after hours</t>
  </si>
  <si>
    <t>Total Yrs of experience: 7-9 
Develop Database components using Azure SQL Database SQL Server and related technologies and implementing best engineering designs. Develop business applications on the cloud (Microsoft Azure) implementing Ecommerce, Marketplace and Operational components enabling digital transformation for healthcare.</t>
  </si>
  <si>
    <t>Mobile Developer</t>
  </si>
  <si>
    <t>Deep knowledge of Android, iOS mobile development, Familiarity with RESTful APIs and mobile libraries for networking, Familiarity with the JSON format, Experience with profiling and debugging mobile applications, Strong knowledge of architectural patterns like MVP, MVC, MVVM, and Clean Architecture and the ability to choose the best solution for the app, Git, Familiarity with push notifications, mobile app design guidelines on each platform, C#..</t>
  </si>
  <si>
    <t>FTE</t>
  </si>
  <si>
    <t>Experience Level</t>
  </si>
  <si>
    <t>Duration</t>
  </si>
  <si>
    <t>Manhours</t>
  </si>
  <si>
    <t xml:space="preserve"> Monthly Cost/ Pay Rate</t>
  </si>
  <si>
    <t xml:space="preserve">
Leave Encashment Cost</t>
  </si>
  <si>
    <t>Public 
Holiday Cost</t>
  </si>
  <si>
    <t>Monthly Gratuity Cost</t>
  </si>
  <si>
    <t>Monthly PF Admin Charges</t>
  </si>
  <si>
    <t>Monthly 
Medical Cost</t>
  </si>
  <si>
    <t>Monthly 
Payroll Cost</t>
  </si>
  <si>
    <t>Monthly 
BGV cost</t>
  </si>
  <si>
    <t>Shift Allowance</t>
  </si>
  <si>
    <t>Laptop Copsts</t>
  </si>
  <si>
    <t>Total Monthly Cost</t>
  </si>
  <si>
    <t>Marup%</t>
  </si>
  <si>
    <t>Markup</t>
  </si>
  <si>
    <t>Monthly BR</t>
  </si>
  <si>
    <t>Project Cost</t>
  </si>
  <si>
    <t>Project Revenue</t>
  </si>
  <si>
    <t>GP</t>
  </si>
  <si>
    <t>GPM</t>
  </si>
  <si>
    <t>10+ Years</t>
  </si>
  <si>
    <t>6 Years</t>
  </si>
  <si>
    <t>12 years</t>
  </si>
  <si>
    <t>8+ Years</t>
  </si>
  <si>
    <t>5+ Years</t>
  </si>
  <si>
    <t>3+ Years</t>
  </si>
  <si>
    <t>10+  years</t>
  </si>
  <si>
    <t>6+ years</t>
  </si>
  <si>
    <t>6+ Years</t>
  </si>
  <si>
    <t>1-3 Years</t>
  </si>
  <si>
    <t>Non People Cost</t>
  </si>
  <si>
    <t>Travel</t>
  </si>
  <si>
    <t>POC Cost</t>
  </si>
  <si>
    <t>Total Cost</t>
  </si>
  <si>
    <t>INR Currency</t>
  </si>
  <si>
    <t>PHP Currency</t>
  </si>
  <si>
    <t>Revenue</t>
  </si>
  <si>
    <t>Cost</t>
  </si>
  <si>
    <t>GPM for the Project</t>
  </si>
  <si>
    <t>Dev : https://cocacolaph-dev.outsystemsenterprise.com/CWT</t>
  </si>
  <si>
    <t>c-chris.lugue@coca-cola.com.ph</t>
  </si>
  <si>
    <t>Cokewilkins1234*</t>
  </si>
  <si>
    <t>Admin</t>
  </si>
  <si>
    <t>Digitizing CAF</t>
  </si>
  <si>
    <t>https://cocacolaph-tst.outsystemsenterprise.com/CAF_Internal</t>
  </si>
  <si>
    <t>CAF_Admin@cocacola.com</t>
  </si>
  <si>
    <t>P@ssw0rd123</t>
  </si>
  <si>
    <t>https://cocacolaph-tst.outsystemsenterprise.com/CustomerManagement/</t>
  </si>
  <si>
    <t>Site Admin </t>
  </si>
  <si>
    <t>Uname - c-sanjay.mahadevanayaka@coca-cola.com.ph</t>
  </si>
  <si>
    <t>Password -  !Coke@1044407</t>
  </si>
  <si>
    <t>TaxLead </t>
  </si>
  <si>
    <t>Uname - c-chethan.chandrashekhar@coca-cola.com.ph</t>
  </si>
  <si>
    <t>Pass - G0wd@Ch3t#@n7</t>
  </si>
  <si>
    <t>Pausechallenge833</t>
  </si>
  <si>
    <t>https://www.youtube.com/watch?v=HfyAxPvBwIE</t>
  </si>
  <si>
    <t>https://collaberadigitaltechnology.sharepoint.com/sites/CES-CCBPI_Transition/Shared%20Documents/Forms/AllItems.aspx?csf=1&amp;web=1&amp;e=cecRAP&amp;ovuser=3d089d0c%2Dc75a%2D4ec9%2D8abc%2D782fc5b42299%2Cc%2Daparupa%2Esengupta%40coca%2Dcola%2Ecom%2Eph&amp;OR=Teams%2DHL&amp;CT=1711609148560&amp;clickparams=eyJBcHBOYW1lIjoiVGVhbXMtRGVza3RvcCIsIkFwcFZlcnNpb24iOiIxNDE1LzI0MDIyOTIwNjAyIiwiSGFzRmVkZXJhdGVkVXNlciI6ZmFsc2V9&amp;cid=a62b8270%2D6bfa%2D47d5%2Db3a2%2D7cf5a2fb0e19&amp;FolderCTID=0x012000991DD73A1A074D469F0B54148D6EE395&amp;id=%2Fsites%2FCES%2DCCBPI%5FTransition%2FShared%20Documents%2FOut%20System%20Migration%2FInternal%20Document%20Sharing&amp;viewid=eb4f162e%2Dc5b9%2D4a7c%2Db58e%2D7e07228ec85b</t>
  </si>
  <si>
    <t>Coke Survey App is used to conduct surveys, to manage survey questions and to manage survey results.</t>
  </si>
  <si>
    <t xml:space="preserve">Site Admin </t>
  </si>
  <si>
    <t xml:space="preserve"> </t>
  </si>
  <si>
    <t>Password -  !Coke@1044407</t>
  </si>
  <si>
    <t xml:space="preserve">TaxLead </t>
  </si>
  <si>
    <t>Admin : Configuration</t>
  </si>
  <si>
    <t>https://cocacolaph-dev.outsystemsenterprise.com/CAF_Common/Login</t>
  </si>
  <si>
    <t>User name : CAF_Admin@cocacola.com</t>
  </si>
  <si>
    <t>Password : P@ssw0rd123</t>
  </si>
  <si>
    <t>Approver Email ID: reynaldo.abellera@coca-cola.com.ph/jayson.catacutan@dbresults.com.hk</t>
  </si>
  <si>
    <t>Admin Customer confi:</t>
  </si>
  <si>
    <t>https://cocacolaph-dev.outsystemsenterprise.com/CustomerManagement/Login</t>
  </si>
  <si>
    <t>Customer Login :</t>
  </si>
  <si>
    <t>https://cocacolaph-dev.outsystemsenterprise.com/CAF_Common/CustomerLogin</t>
  </si>
  <si>
    <t>User Name: Approver/Customer mail - 502147751</t>
  </si>
  <si>
    <t>Pubish Survey</t>
  </si>
  <si>
    <t>Resources Required</t>
  </si>
  <si>
    <t>Effort</t>
  </si>
  <si>
    <t>Mobile Lead</t>
  </si>
  <si>
    <t>Man Hours</t>
  </si>
  <si>
    <t>Man Days</t>
  </si>
  <si>
    <t>Man Months</t>
  </si>
  <si>
    <t>ü</t>
  </si>
  <si>
    <t>ý</t>
  </si>
  <si>
    <t>Survey</t>
  </si>
  <si>
    <t>R&amp;I</t>
  </si>
  <si>
    <t xml:space="preserve">Risk &amp; Insurance Portal  </t>
  </si>
  <si>
    <t>Access Creation &amp; Initiation</t>
  </si>
  <si>
    <t>Requirements Gathering, User Story Creation, Sprint Backlogs, Acceptance Criteria</t>
  </si>
  <si>
    <t>Build &amp; Test (Web &amp; Mobile Applications)</t>
  </si>
  <si>
    <t>Reworks &amp; UAT</t>
  </si>
  <si>
    <t>Go live &amp; Hypercare</t>
  </si>
  <si>
    <t>Total Effort</t>
  </si>
  <si>
    <t>Month 1 - June</t>
  </si>
  <si>
    <t>Month 2 - July</t>
  </si>
  <si>
    <t>Month 3 - August</t>
  </si>
  <si>
    <t>Sprint 1</t>
  </si>
  <si>
    <t>Sprint 2</t>
  </si>
  <si>
    <t>Sprint 3</t>
  </si>
  <si>
    <t>Sprint 4</t>
  </si>
  <si>
    <t>Sprint 5</t>
  </si>
  <si>
    <t>Sprint 6</t>
  </si>
  <si>
    <t>Weeks</t>
  </si>
  <si>
    <t>W1</t>
  </si>
  <si>
    <t>W2</t>
  </si>
  <si>
    <t>W3</t>
  </si>
  <si>
    <t>W4</t>
  </si>
  <si>
    <t>W5</t>
  </si>
  <si>
    <t>W6</t>
  </si>
  <si>
    <t>W7</t>
  </si>
  <si>
    <t>W8</t>
  </si>
  <si>
    <t>W9</t>
  </si>
  <si>
    <t>W10</t>
  </si>
  <si>
    <t>W11</t>
  </si>
  <si>
    <t>W12</t>
  </si>
  <si>
    <t>W13</t>
  </si>
  <si>
    <t>Developers</t>
  </si>
  <si>
    <t>Efforts</t>
  </si>
  <si>
    <t>QA</t>
  </si>
  <si>
    <t>Month 4 - September</t>
  </si>
  <si>
    <t>Sprint 7</t>
  </si>
  <si>
    <t>Sprint 8</t>
  </si>
  <si>
    <t>W14</t>
  </si>
  <si>
    <t>W15</t>
  </si>
  <si>
    <t>W16</t>
  </si>
  <si>
    <t>W17</t>
  </si>
  <si>
    <t>Since in Power Apps, developers will not be able to publish at the same time, hence the developers needs to be considered in different time zones or working hours, with overlapping hours</t>
  </si>
  <si>
    <t>The timeline and estimation is entirely based on the captured features. Any change in the Scope will have to change the timeline.</t>
  </si>
  <si>
    <t>CCBPI Modernization
Estimation</t>
  </si>
  <si>
    <t>Certificate of Withholding 
Tax (CWT)</t>
  </si>
  <si>
    <t>Credit Application
 Form (CAF)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</si>
</sst>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_(* #,##0_);_(* \(#,##0\);_(* &quot;-&quot;??_);_(@_)"/>
    <numFmt numFmtId="166" formatCode="_ * #,##0_ ;_ * \-#,##0_ ;_ * &quot;-&quot;??_ ;_ @_ "/>
    <numFmt numFmtId="167" formatCode="0.0%"/>
    <numFmt numFmtId="168" formatCode="0.0"/>
    <numFmt numFmtId="169" formatCode="_(&quot;₹&quot;* #,##0_);_(&quot;₹&quot;* \(#,##0\);_(&quot;₹&quot;* &quot;-&quot;_);_(@_)"/>
  </numFmts>
  <fonts count="44" x14ac:knownFonts="1">
    <font>
      <sz val="11"/>
      <color theme="1"/>
      <name val="Aptos Narrow"/>
      <family val="2"/>
      <scheme val="minor"/>
    </font>
    <font>
      <sz val="11"/>
      <color theme="0"/>
      <name val="Aptos Narrow"/>
      <family val="2"/>
      <scheme val="minor"/>
    </font>
    <font>
      <b/>
      <sz val="11"/>
      <color theme="1"/>
      <name val="Aptos Narrow"/>
      <family val="2"/>
      <scheme val="minor"/>
    </font>
    <font>
      <b/>
      <sz val="11"/>
      <color rgb="FFFFFFFF"/>
      <name val="Aptos Narrow"/>
      <family val="2"/>
    </font>
    <font>
      <sz val="11"/>
      <color rgb="FF000000"/>
      <name val="Aptos Narrow"/>
      <family val="2"/>
    </font>
    <font>
      <b/>
      <sz val="11"/>
      <color theme="0"/>
      <name val="Aptos Narrow"/>
      <family val="2"/>
      <scheme val="minor"/>
    </font>
    <font>
      <sz val="8"/>
      <color theme="1"/>
      <name val="Segoe UI"/>
      <family val="2"/>
    </font>
    <font>
      <sz val="11"/>
      <color theme="1"/>
      <name val="Segoe UI"/>
      <family val="2"/>
    </font>
    <font>
      <u/>
      <sz val="11"/>
      <color theme="10"/>
      <name val="Aptos Narrow"/>
      <family val="2"/>
      <scheme val="minor"/>
    </font>
    <font>
      <b/>
      <sz val="11"/>
      <name val="Aptos Narrow"/>
      <family val="2"/>
      <scheme val="minor"/>
    </font>
    <font>
      <sz val="11"/>
      <name val="Aptos Narrow"/>
      <family val="2"/>
      <scheme val="minor"/>
    </font>
    <font>
      <sz val="8"/>
      <name val="Aptos Narrow"/>
      <family val="2"/>
      <scheme val="minor"/>
    </font>
    <font>
      <sz val="11"/>
      <color theme="1"/>
      <name val="Aptos Narrow"/>
      <family val="2"/>
      <scheme val="minor"/>
    </font>
    <font>
      <b/>
      <sz val="10"/>
      <color theme="1"/>
      <name val="Aptos Narrow"/>
      <family val="2"/>
      <scheme val="minor"/>
    </font>
    <font>
      <sz val="10"/>
      <color theme="1"/>
      <name val="Aptos Narrow"/>
      <family val="2"/>
      <scheme val="minor"/>
    </font>
    <font>
      <b/>
      <sz val="9"/>
      <color theme="0"/>
      <name val="Aptos Narrow"/>
      <family val="2"/>
      <scheme val="minor"/>
    </font>
    <font>
      <sz val="9"/>
      <color theme="1"/>
      <name val="Aptos Narrow"/>
      <family val="2"/>
      <scheme val="minor"/>
    </font>
    <font>
      <sz val="9"/>
      <name val="Aptos Narrow"/>
      <family val="2"/>
      <scheme val="minor"/>
    </font>
    <font>
      <b/>
      <sz val="9"/>
      <color theme="1"/>
      <name val="Aptos Narrow"/>
      <family val="2"/>
      <scheme val="minor"/>
    </font>
    <font>
      <sz val="11"/>
      <color rgb="FF000000"/>
      <name val="Aptos Narrow"/>
      <scheme val="minor"/>
    </font>
    <font>
      <b/>
      <sz val="11"/>
      <color rgb="FF000000"/>
      <name val="Calibri"/>
      <family val="2"/>
    </font>
    <font>
      <sz val="11"/>
      <color rgb="FF000000"/>
      <name val="Calibri"/>
      <family val="2"/>
    </font>
    <font>
      <sz val="11"/>
      <color rgb="FF000000"/>
      <name val="Calibri"/>
    </font>
    <font>
      <b/>
      <sz val="11"/>
      <color rgb="FF000000"/>
      <name val="Calibri"/>
    </font>
    <font>
      <sz val="11"/>
      <color rgb="FF000000"/>
      <name val="Calibri"/>
      <charset val="1"/>
    </font>
    <font>
      <b/>
      <sz val="11"/>
      <color rgb="FF000000"/>
      <name val="Aptos Narrow"/>
      <scheme val="minor"/>
    </font>
    <font>
      <b/>
      <sz val="20"/>
      <color theme="1"/>
      <name val="Aptos Narrow"/>
      <family val="2"/>
      <scheme val="minor"/>
    </font>
    <font>
      <sz val="11"/>
      <color rgb="FF000000"/>
      <name val="Aptos Narrow"/>
      <family val="2"/>
      <scheme val="minor"/>
    </font>
    <font>
      <b/>
      <sz val="11"/>
      <color rgb="FF000000"/>
      <name val="Amasis MT Pro Medium"/>
      <family val="1"/>
    </font>
    <font>
      <b/>
      <sz val="12"/>
      <color theme="1"/>
      <name val="Aptos Narrow"/>
      <family val="2"/>
      <scheme val="minor"/>
    </font>
    <font>
      <b/>
      <sz val="11"/>
      <color theme="1"/>
      <name val="Times New Roman"/>
      <family val="1"/>
      <charset val="1"/>
    </font>
    <font>
      <b/>
      <sz val="11"/>
      <color rgb="FF000000"/>
      <name val="Aptos Narrow"/>
      <family val="2"/>
      <scheme val="minor"/>
    </font>
    <font>
      <b/>
      <sz val="11"/>
      <color rgb="FF000000"/>
      <name val="Times New Roman"/>
      <family val="1"/>
      <charset val="1"/>
    </font>
    <font>
      <b/>
      <sz val="11"/>
      <color rgb="FF000000"/>
      <name val="Aptos Narrow"/>
      <charset val="1"/>
    </font>
    <font>
      <sz val="11"/>
      <color rgb="FF000000"/>
      <name val="Aptos Narrow"/>
    </font>
    <font>
      <b/>
      <sz val="11"/>
      <color rgb="FF000000"/>
      <name val="Aptos Narrow"/>
      <family val="2"/>
    </font>
    <font>
      <sz val="11"/>
      <color rgb="FF000000"/>
      <name val="Aptos Narrow"/>
      <charset val="1"/>
    </font>
    <font>
      <b/>
      <sz val="12"/>
      <color theme="1"/>
      <name val="Times New Roman"/>
      <family val="1"/>
      <charset val="1"/>
    </font>
    <font>
      <b/>
      <sz val="11"/>
      <color rgb="FF000000"/>
      <name val="Aptos Narrow"/>
    </font>
    <font>
      <sz val="11"/>
      <color theme="1"/>
      <name val="Wingdings"/>
      <charset val="2"/>
    </font>
    <font>
      <b/>
      <sz val="10"/>
      <color theme="0"/>
      <name val="Aptos Narrow"/>
      <family val="2"/>
      <scheme val="minor"/>
    </font>
    <font>
      <sz val="10"/>
      <name val="Aptos Narrow"/>
      <family val="2"/>
      <scheme val="minor"/>
    </font>
    <font>
      <b/>
      <sz val="16"/>
      <color theme="1"/>
      <name val="Aptos Narrow"/>
      <family val="2"/>
      <scheme val="minor"/>
    </font>
    <font>
      <sz val="14"/>
      <color rgb="FFFF0000"/>
      <name val="Aptos Narrow"/>
      <family val="2"/>
      <scheme val="minor"/>
    </font>
  </fonts>
  <fills count="33">
    <fill>
      <patternFill patternType="none"/>
    </fill>
    <fill>
      <patternFill patternType="gray125"/>
    </fill>
    <fill>
      <patternFill patternType="solid">
        <fgColor theme="1" tint="0.249977111117893"/>
        <bgColor theme="1" tint="0.249977111117893"/>
      </patternFill>
    </fill>
    <fill>
      <patternFill patternType="solid">
        <fgColor theme="1" tint="0.44999542222357858"/>
        <bgColor theme="1" tint="0.44999542222357858"/>
      </patternFill>
    </fill>
    <fill>
      <patternFill patternType="solid">
        <fgColor theme="0" tint="-0.14999847407452621"/>
        <bgColor theme="0" tint="-0.14999847407452621"/>
      </patternFill>
    </fill>
    <fill>
      <patternFill patternType="solid">
        <fgColor rgb="FF0F9ED5"/>
        <bgColor rgb="FF0F9ED5"/>
      </patternFill>
    </fill>
    <fill>
      <patternFill patternType="solid">
        <fgColor rgb="FFCAEDFB"/>
        <bgColor rgb="FFCAEDFB"/>
      </patternFill>
    </fill>
    <fill>
      <patternFill patternType="solid">
        <fgColor theme="1"/>
        <bgColor theme="1"/>
      </patternFill>
    </fill>
    <fill>
      <patternFill patternType="solid">
        <fgColor theme="0"/>
        <bgColor indexed="64"/>
      </patternFill>
    </fill>
    <fill>
      <patternFill patternType="solid">
        <fgColor theme="3" tint="0.499984740745262"/>
        <bgColor indexed="64"/>
      </patternFill>
    </fill>
    <fill>
      <patternFill patternType="solid">
        <fgColor theme="0"/>
        <bgColor theme="1"/>
      </patternFill>
    </fill>
    <fill>
      <patternFill patternType="solid">
        <fgColor rgb="FF002060"/>
        <bgColor indexed="64"/>
      </patternFill>
    </fill>
    <fill>
      <patternFill patternType="solid">
        <fgColor rgb="FF92D050"/>
        <bgColor indexed="64"/>
      </patternFill>
    </fill>
    <fill>
      <patternFill patternType="solid">
        <fgColor rgb="FF00B0F0"/>
        <bgColor indexed="64"/>
      </patternFill>
    </fill>
    <fill>
      <patternFill patternType="solid">
        <fgColor theme="4" tint="0.79998168889431442"/>
        <bgColor theme="0" tint="-0.14999847407452621"/>
      </patternFill>
    </fill>
    <fill>
      <patternFill patternType="solid">
        <fgColor theme="6" tint="0.79998168889431442"/>
        <bgColor theme="1"/>
      </patternFill>
    </fill>
    <fill>
      <patternFill patternType="solid">
        <fgColor theme="5" tint="0.79998168889431442"/>
        <bgColor theme="1"/>
      </patternFill>
    </fill>
    <fill>
      <patternFill patternType="solid">
        <fgColor rgb="FFFFFFFF"/>
        <bgColor rgb="FF000000"/>
      </patternFill>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bgColor indexed="64"/>
      </patternFill>
    </fill>
    <fill>
      <patternFill patternType="solid">
        <fgColor rgb="FFFFC000"/>
        <bgColor indexed="64"/>
      </patternFill>
    </fill>
    <fill>
      <patternFill patternType="solid">
        <fgColor rgb="FF0070C0"/>
        <bgColor theme="1"/>
      </patternFill>
    </fill>
    <fill>
      <patternFill patternType="solid">
        <fgColor theme="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70C0"/>
        <bgColor indexed="64"/>
      </patternFill>
    </fill>
    <fill>
      <patternFill patternType="solid">
        <fgColor rgb="FF0070C0"/>
        <bgColor theme="0" tint="-0.14999847407452621"/>
      </patternFill>
    </fill>
    <fill>
      <patternFill patternType="solid">
        <fgColor rgb="FF002060"/>
        <bgColor theme="1"/>
      </patternFill>
    </fill>
  </fills>
  <borders count="7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61CBF3"/>
      </left>
      <right style="thin">
        <color indexed="64"/>
      </right>
      <top style="thin">
        <color indexed="64"/>
      </top>
      <bottom style="thin">
        <color indexed="64"/>
      </bottom>
      <diagonal/>
    </border>
    <border>
      <left style="thin">
        <color indexed="64"/>
      </left>
      <right style="thin">
        <color rgb="FF61CBF3"/>
      </right>
      <top style="thin">
        <color indexed="64"/>
      </top>
      <bottom style="thin">
        <color indexed="64"/>
      </bottom>
      <diagonal/>
    </border>
    <border>
      <left style="thin">
        <color rgb="FF61CBF3"/>
      </left>
      <right style="thin">
        <color indexed="64"/>
      </right>
      <top style="thin">
        <color indexed="64"/>
      </top>
      <bottom style="thin">
        <color rgb="FF61CBF3"/>
      </bottom>
      <diagonal/>
    </border>
    <border>
      <left style="thin">
        <color indexed="64"/>
      </left>
      <right style="thin">
        <color indexed="64"/>
      </right>
      <top style="thin">
        <color indexed="64"/>
      </top>
      <bottom style="thin">
        <color rgb="FF61CBF3"/>
      </bottom>
      <diagonal/>
    </border>
    <border>
      <left style="thin">
        <color indexed="64"/>
      </left>
      <right style="thin">
        <color rgb="FF61CBF3"/>
      </right>
      <top style="thin">
        <color indexed="64"/>
      </top>
      <bottom style="thin">
        <color rgb="FF61CBF3"/>
      </bottom>
      <diagonal/>
    </border>
    <border>
      <left style="thin">
        <color indexed="64"/>
      </left>
      <right style="thin">
        <color indexed="64"/>
      </right>
      <top/>
      <bottom/>
      <diagonal/>
    </border>
    <border>
      <left style="thin">
        <color rgb="FF61CBF3"/>
      </left>
      <right style="thin">
        <color indexed="64"/>
      </right>
      <top style="thin">
        <color indexed="64"/>
      </top>
      <bottom/>
      <diagonal/>
    </border>
    <border>
      <left style="thin">
        <color indexed="64"/>
      </left>
      <right style="thin">
        <color rgb="FF61CBF3"/>
      </right>
      <top style="thin">
        <color indexed="64"/>
      </top>
      <bottom/>
      <diagonal/>
    </border>
    <border>
      <left style="thin">
        <color theme="1"/>
      </left>
      <right style="thin">
        <color theme="1"/>
      </right>
      <top style="medium">
        <color theme="1"/>
      </top>
      <bottom style="medium">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theme="1"/>
      </left>
      <right style="thin">
        <color theme="1"/>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thin">
        <color indexed="64"/>
      </top>
      <bottom/>
      <diagonal/>
    </border>
    <border>
      <left/>
      <right/>
      <top style="thin">
        <color indexed="64"/>
      </top>
      <bottom style="double">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rgb="FF000000"/>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s>
  <cellStyleXfs count="4">
    <xf numFmtId="0" fontId="0" fillId="0" borderId="0"/>
    <xf numFmtId="0" fontId="8" fillId="0" borderId="0" applyNumberFormat="0" applyFill="0" applyBorder="0" applyAlignment="0" applyProtection="0"/>
    <xf numFmtId="43" fontId="12" fillId="0" borderId="0" applyFont="0" applyFill="0" applyBorder="0" applyAlignment="0" applyProtection="0"/>
    <xf numFmtId="9" fontId="12" fillId="0" borderId="0" applyFont="0" applyFill="0" applyBorder="0" applyAlignment="0" applyProtection="0"/>
  </cellStyleXfs>
  <cellXfs count="398">
    <xf numFmtId="0" fontId="0" fillId="0" borderId="0" xfId="0"/>
    <xf numFmtId="0" fontId="0" fillId="0" borderId="1" xfId="0" applyBorder="1"/>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wrapText="1"/>
    </xf>
    <xf numFmtId="0" fontId="0" fillId="0" borderId="5" xfId="0" applyBorder="1"/>
    <xf numFmtId="0" fontId="0" fillId="0" borderId="6" xfId="0" applyBorder="1"/>
    <xf numFmtId="0" fontId="1" fillId="3" borderId="1" xfId="0" applyFont="1" applyFill="1" applyBorder="1"/>
    <xf numFmtId="0" fontId="1" fillId="2" borderId="1" xfId="0" applyFont="1" applyFill="1" applyBorder="1"/>
    <xf numFmtId="0" fontId="0" fillId="0" borderId="3"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4" borderId="8" xfId="0" applyFill="1" applyBorder="1"/>
    <xf numFmtId="0" fontId="0" fillId="4" borderId="1" xfId="0" applyFill="1" applyBorder="1"/>
    <xf numFmtId="0" fontId="0" fillId="4" borderId="9" xfId="0" applyFill="1" applyBorder="1"/>
    <xf numFmtId="0" fontId="0" fillId="0" borderId="8" xfId="0" applyBorder="1"/>
    <xf numFmtId="0" fontId="4" fillId="6" borderId="1" xfId="0" applyFont="1" applyFill="1" applyBorder="1"/>
    <xf numFmtId="0" fontId="4" fillId="0" borderId="1" xfId="0" applyFont="1" applyBorder="1"/>
    <xf numFmtId="0" fontId="4" fillId="6" borderId="18" xfId="0" applyFont="1" applyFill="1" applyBorder="1"/>
    <xf numFmtId="0" fontId="4" fillId="6" borderId="19" xfId="0" applyFont="1" applyFill="1" applyBorder="1"/>
    <xf numFmtId="0" fontId="4" fillId="6" borderId="20" xfId="0" applyFont="1" applyFill="1" applyBorder="1"/>
    <xf numFmtId="0" fontId="4" fillId="6" borderId="21" xfId="0" applyFont="1" applyFill="1" applyBorder="1"/>
    <xf numFmtId="0" fontId="4" fillId="6" borderId="22" xfId="0" applyFont="1" applyFill="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4" fillId="0" borderId="0" xfId="0" applyFont="1"/>
    <xf numFmtId="0" fontId="3" fillId="5" borderId="3" xfId="0" applyFont="1" applyFill="1" applyBorder="1"/>
    <xf numFmtId="0" fontId="4" fillId="6" borderId="24" xfId="0" applyFont="1" applyFill="1" applyBorder="1"/>
    <xf numFmtId="0" fontId="4" fillId="6" borderId="14" xfId="0" applyFont="1" applyFill="1" applyBorder="1"/>
    <xf numFmtId="0" fontId="4" fillId="6" borderId="25" xfId="0" applyFont="1" applyFill="1" applyBorder="1"/>
    <xf numFmtId="0" fontId="5" fillId="7" borderId="26" xfId="0" applyFont="1" applyFill="1" applyBorder="1"/>
    <xf numFmtId="0" fontId="0" fillId="4" borderId="27" xfId="0" applyFill="1" applyBorder="1"/>
    <xf numFmtId="0" fontId="0" fillId="0" borderId="27" xfId="0" applyBorder="1"/>
    <xf numFmtId="0" fontId="0" fillId="0" borderId="7" xfId="0" applyBorder="1"/>
    <xf numFmtId="0" fontId="0" fillId="0" borderId="28" xfId="0" applyBorder="1"/>
    <xf numFmtId="0" fontId="5" fillId="7" borderId="32" xfId="0" applyFont="1" applyFill="1" applyBorder="1"/>
    <xf numFmtId="0" fontId="5" fillId="7" borderId="23" xfId="0" applyFont="1" applyFill="1" applyBorder="1"/>
    <xf numFmtId="0" fontId="5" fillId="7" borderId="31" xfId="0" applyFont="1" applyFill="1" applyBorder="1"/>
    <xf numFmtId="0" fontId="0" fillId="0" borderId="34" xfId="0" applyBorder="1"/>
    <xf numFmtId="0" fontId="0" fillId="0" borderId="23" xfId="0" applyBorder="1"/>
    <xf numFmtId="0" fontId="5" fillId="7" borderId="36" xfId="0" applyFont="1" applyFill="1" applyBorder="1"/>
    <xf numFmtId="0" fontId="6" fillId="0" borderId="0" xfId="0" applyFont="1" applyAlignment="1">
      <alignment vertical="center"/>
    </xf>
    <xf numFmtId="0" fontId="7" fillId="0" borderId="0" xfId="0" applyFont="1" applyAlignment="1">
      <alignment vertical="center" wrapText="1"/>
    </xf>
    <xf numFmtId="0" fontId="8" fillId="0" borderId="0" xfId="1" applyAlignment="1">
      <alignment vertical="center" wrapText="1"/>
    </xf>
    <xf numFmtId="0" fontId="8" fillId="0" borderId="0" xfId="1"/>
    <xf numFmtId="0" fontId="5" fillId="7" borderId="36" xfId="0" applyFont="1" applyFill="1" applyBorder="1" applyAlignment="1">
      <alignment vertical="top" wrapText="1"/>
    </xf>
    <xf numFmtId="0" fontId="0" fillId="0" borderId="30" xfId="0" applyBorder="1" applyAlignment="1">
      <alignment vertical="top" wrapText="1"/>
    </xf>
    <xf numFmtId="0" fontId="0" fillId="0" borderId="8" xfId="0" applyBorder="1" applyAlignment="1">
      <alignment vertical="top" wrapText="1"/>
    </xf>
    <xf numFmtId="0" fontId="0" fillId="0" borderId="29" xfId="0" applyBorder="1" applyAlignment="1">
      <alignment vertical="top" wrapText="1"/>
    </xf>
    <xf numFmtId="0" fontId="0" fillId="0" borderId="0" xfId="0" applyAlignment="1">
      <alignment vertical="top" wrapText="1"/>
    </xf>
    <xf numFmtId="0" fontId="2" fillId="0" borderId="8" xfId="0" applyFont="1" applyBorder="1" applyAlignment="1">
      <alignment vertical="top" wrapText="1"/>
    </xf>
    <xf numFmtId="0" fontId="2" fillId="0" borderId="29" xfId="0" applyFont="1" applyBorder="1" applyAlignment="1">
      <alignment vertical="top" wrapText="1"/>
    </xf>
    <xf numFmtId="0" fontId="0" fillId="0" borderId="42" xfId="0" applyBorder="1"/>
    <xf numFmtId="0" fontId="10" fillId="8" borderId="29" xfId="0" applyFont="1" applyFill="1" applyBorder="1"/>
    <xf numFmtId="0" fontId="10" fillId="8" borderId="28" xfId="0" applyFont="1" applyFill="1" applyBorder="1"/>
    <xf numFmtId="0" fontId="10" fillId="8" borderId="10" xfId="0" applyFont="1" applyFill="1" applyBorder="1"/>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horizontal="center" vertical="center"/>
    </xf>
    <xf numFmtId="0" fontId="15" fillId="11" borderId="1" xfId="0" applyFont="1" applyFill="1" applyBorder="1" applyAlignment="1">
      <alignment horizontal="center" vertical="center" wrapText="1"/>
    </xf>
    <xf numFmtId="0" fontId="16" fillId="0" borderId="0" xfId="0" applyFont="1" applyAlignment="1">
      <alignment vertical="center"/>
    </xf>
    <xf numFmtId="2" fontId="17" fillId="0" borderId="1" xfId="2" applyNumberFormat="1" applyFont="1" applyFill="1" applyBorder="1" applyAlignment="1">
      <alignment horizontal="center" vertical="center"/>
    </xf>
    <xf numFmtId="165" fontId="17" fillId="8" borderId="1" xfId="2" applyNumberFormat="1" applyFont="1" applyFill="1" applyBorder="1" applyAlignment="1">
      <alignment horizontal="left" vertical="center"/>
    </xf>
    <xf numFmtId="165" fontId="17" fillId="0" borderId="1" xfId="2" applyNumberFormat="1" applyFont="1" applyFill="1" applyBorder="1" applyAlignment="1">
      <alignment vertical="center"/>
    </xf>
    <xf numFmtId="43" fontId="17" fillId="0" borderId="1" xfId="2" applyFont="1" applyFill="1" applyBorder="1" applyAlignment="1">
      <alignment horizontal="center" vertical="center"/>
    </xf>
    <xf numFmtId="165" fontId="17" fillId="0" borderId="1" xfId="2" applyNumberFormat="1" applyFont="1" applyFill="1" applyBorder="1" applyAlignment="1">
      <alignment horizontal="center" vertical="center"/>
    </xf>
    <xf numFmtId="166" fontId="16" fillId="0" borderId="1" xfId="2" applyNumberFormat="1" applyFont="1" applyBorder="1" applyAlignment="1">
      <alignment vertical="center"/>
    </xf>
    <xf numFmtId="165" fontId="16" fillId="0" borderId="1" xfId="0" applyNumberFormat="1" applyFont="1" applyBorder="1" applyAlignment="1">
      <alignment vertical="center"/>
    </xf>
    <xf numFmtId="9" fontId="16" fillId="0" borderId="1" xfId="3" applyFont="1" applyBorder="1" applyAlignment="1">
      <alignment horizontal="center" vertical="center"/>
    </xf>
    <xf numFmtId="166" fontId="17" fillId="0" borderId="1" xfId="2" applyNumberFormat="1" applyFont="1" applyBorder="1" applyAlignment="1">
      <alignment horizontal="center" vertical="center"/>
    </xf>
    <xf numFmtId="167" fontId="16" fillId="0" borderId="1" xfId="3" applyNumberFormat="1" applyFont="1" applyBorder="1" applyAlignment="1">
      <alignment horizontal="center" vertical="center"/>
    </xf>
    <xf numFmtId="43" fontId="16" fillId="0" borderId="0" xfId="0" applyNumberFormat="1" applyFont="1" applyAlignment="1">
      <alignment vertical="center"/>
    </xf>
    <xf numFmtId="165" fontId="17" fillId="8" borderId="1" xfId="2" applyNumberFormat="1" applyFont="1" applyFill="1" applyBorder="1" applyAlignment="1">
      <alignment vertical="center"/>
    </xf>
    <xf numFmtId="168" fontId="18" fillId="0" borderId="1" xfId="0" applyNumberFormat="1" applyFont="1" applyBorder="1" applyAlignment="1">
      <alignment horizontal="center" vertical="center"/>
    </xf>
    <xf numFmtId="165" fontId="18" fillId="0" borderId="1" xfId="0" applyNumberFormat="1" applyFont="1" applyBorder="1" applyAlignment="1">
      <alignment horizontal="center" vertical="center"/>
    </xf>
    <xf numFmtId="43" fontId="18" fillId="0" borderId="1" xfId="0" applyNumberFormat="1" applyFont="1" applyBorder="1" applyAlignment="1">
      <alignment horizontal="center" vertical="center"/>
    </xf>
    <xf numFmtId="1" fontId="18" fillId="0" borderId="1" xfId="0" applyNumberFormat="1" applyFont="1" applyBorder="1" applyAlignment="1">
      <alignment horizontal="center" vertical="center"/>
    </xf>
    <xf numFmtId="164" fontId="18" fillId="0" borderId="0" xfId="0" applyNumberFormat="1" applyFont="1" applyAlignment="1">
      <alignment vertical="center"/>
    </xf>
    <xf numFmtId="168" fontId="18" fillId="0" borderId="0" xfId="0" applyNumberFormat="1" applyFont="1" applyAlignment="1">
      <alignment horizontal="center" vertical="center"/>
    </xf>
    <xf numFmtId="165" fontId="16" fillId="0" borderId="0" xfId="0" applyNumberFormat="1" applyFont="1" applyAlignment="1">
      <alignment horizontal="center" vertical="center"/>
    </xf>
    <xf numFmtId="169" fontId="16" fillId="0" borderId="0" xfId="0" applyNumberFormat="1" applyFont="1" applyAlignment="1">
      <alignment vertical="center"/>
    </xf>
    <xf numFmtId="169" fontId="18" fillId="0" borderId="0" xfId="0" applyNumberFormat="1" applyFont="1" applyAlignment="1">
      <alignment vertical="center"/>
    </xf>
    <xf numFmtId="0" fontId="18" fillId="0" borderId="0" xfId="0" applyFont="1" applyAlignment="1">
      <alignment vertical="center"/>
    </xf>
    <xf numFmtId="166" fontId="16" fillId="0" borderId="0" xfId="2" applyNumberFormat="1" applyFont="1" applyBorder="1" applyAlignment="1">
      <alignment vertical="center"/>
    </xf>
    <xf numFmtId="0" fontId="18" fillId="0" borderId="5" xfId="0" applyFont="1" applyBorder="1" applyAlignment="1">
      <alignment vertical="center"/>
    </xf>
    <xf numFmtId="0" fontId="18" fillId="0" borderId="1" xfId="0" applyFont="1" applyBorder="1" applyAlignment="1">
      <alignment vertical="center"/>
    </xf>
    <xf numFmtId="43" fontId="18" fillId="0" borderId="46" xfId="0" applyNumberFormat="1" applyFont="1" applyBorder="1" applyAlignment="1">
      <alignment horizontal="left" vertical="center"/>
    </xf>
    <xf numFmtId="166" fontId="18" fillId="0" borderId="46" xfId="2" applyNumberFormat="1" applyFont="1" applyBorder="1" applyAlignment="1">
      <alignment vertical="center"/>
    </xf>
    <xf numFmtId="166" fontId="18" fillId="0" borderId="46" xfId="3" applyNumberFormat="1" applyFont="1" applyBorder="1" applyAlignment="1">
      <alignment vertical="center"/>
    </xf>
    <xf numFmtId="43" fontId="18" fillId="0" borderId="0" xfId="0" applyNumberFormat="1" applyFont="1" applyAlignment="1">
      <alignment horizontal="left" vertical="center"/>
    </xf>
    <xf numFmtId="43" fontId="18" fillId="0" borderId="0" xfId="0" applyNumberFormat="1" applyFont="1" applyAlignment="1">
      <alignment vertical="center"/>
    </xf>
    <xf numFmtId="166" fontId="18" fillId="0" borderId="0" xfId="2" applyNumberFormat="1" applyFont="1" applyBorder="1" applyAlignment="1">
      <alignment vertical="center"/>
    </xf>
    <xf numFmtId="166" fontId="18" fillId="0" borderId="0" xfId="3" applyNumberFormat="1" applyFont="1" applyBorder="1" applyAlignment="1">
      <alignment vertical="center"/>
    </xf>
    <xf numFmtId="10" fontId="18" fillId="0" borderId="0" xfId="3" applyNumberFormat="1" applyFont="1" applyFill="1" applyBorder="1" applyAlignment="1">
      <alignment vertical="center"/>
    </xf>
    <xf numFmtId="0" fontId="18" fillId="0" borderId="0" xfId="0" applyFont="1" applyAlignment="1">
      <alignment vertical="center" wrapText="1"/>
    </xf>
    <xf numFmtId="0" fontId="15" fillId="11" borderId="1" xfId="0" applyFont="1" applyFill="1" applyBorder="1" applyAlignment="1">
      <alignment horizontal="center" vertical="center"/>
    </xf>
    <xf numFmtId="0" fontId="16" fillId="0" borderId="1" xfId="0" applyFont="1" applyBorder="1" applyAlignment="1">
      <alignment vertical="center"/>
    </xf>
    <xf numFmtId="2" fontId="16" fillId="0" borderId="0" xfId="0" applyNumberFormat="1" applyFont="1" applyAlignment="1">
      <alignment vertical="center"/>
    </xf>
    <xf numFmtId="0" fontId="16" fillId="12" borderId="1" xfId="0" applyFont="1" applyFill="1" applyBorder="1" applyAlignment="1">
      <alignment vertical="center"/>
    </xf>
    <xf numFmtId="9" fontId="18" fillId="12" borderId="1" xfId="3" applyFont="1" applyFill="1" applyBorder="1" applyAlignment="1">
      <alignment vertical="center"/>
    </xf>
    <xf numFmtId="10" fontId="18" fillId="0" borderId="0" xfId="3" applyNumberFormat="1" applyFont="1" applyBorder="1" applyAlignment="1">
      <alignment vertical="center"/>
    </xf>
    <xf numFmtId="0" fontId="0" fillId="0" borderId="33" xfId="0" applyBorder="1" applyAlignment="1">
      <alignment vertical="top" wrapText="1"/>
    </xf>
    <xf numFmtId="0" fontId="2" fillId="0" borderId="34" xfId="0" applyFont="1" applyBorder="1"/>
    <xf numFmtId="0" fontId="0" fillId="0" borderId="40" xfId="0" applyBorder="1"/>
    <xf numFmtId="0" fontId="2" fillId="0" borderId="0" xfId="0" applyFont="1" applyAlignment="1">
      <alignment horizontal="center" vertical="top" wrapText="1"/>
    </xf>
    <xf numFmtId="0" fontId="0" fillId="13" borderId="0" xfId="0" applyFill="1"/>
    <xf numFmtId="0" fontId="0" fillId="8" borderId="0" xfId="0" applyFill="1"/>
    <xf numFmtId="2" fontId="17" fillId="8" borderId="1" xfId="2" applyNumberFormat="1" applyFont="1" applyFill="1" applyBorder="1" applyAlignment="1">
      <alignment horizontal="center" vertical="center"/>
    </xf>
    <xf numFmtId="43" fontId="0" fillId="0" borderId="0" xfId="0" applyNumberFormat="1"/>
    <xf numFmtId="0" fontId="15" fillId="11" borderId="0" xfId="0" applyFont="1" applyFill="1" applyAlignment="1">
      <alignment horizontal="center" vertical="center" wrapText="1"/>
    </xf>
    <xf numFmtId="43" fontId="17" fillId="0" borderId="0" xfId="2" applyFont="1" applyFill="1" applyBorder="1" applyAlignment="1">
      <alignment horizontal="center" vertical="center"/>
    </xf>
    <xf numFmtId="0" fontId="18" fillId="0" borderId="0" xfId="0" applyFont="1" applyAlignment="1">
      <alignment horizontal="center" vertical="center"/>
    </xf>
    <xf numFmtId="0" fontId="0" fillId="0" borderId="0" xfId="0" applyAlignment="1">
      <alignment horizontal="center" vertical="center"/>
    </xf>
    <xf numFmtId="0" fontId="0" fillId="0" borderId="51" xfId="0" applyBorder="1"/>
    <xf numFmtId="0" fontId="0" fillId="0" borderId="52" xfId="0" applyBorder="1"/>
    <xf numFmtId="0" fontId="0" fillId="0" borderId="53" xfId="0" applyBorder="1"/>
    <xf numFmtId="0" fontId="10" fillId="8" borderId="30" xfId="0" applyFont="1" applyFill="1" applyBorder="1"/>
    <xf numFmtId="0" fontId="10" fillId="8" borderId="12" xfId="0" applyFont="1" applyFill="1" applyBorder="1"/>
    <xf numFmtId="0" fontId="10" fillId="8" borderId="8" xfId="0" applyFont="1" applyFill="1" applyBorder="1"/>
    <xf numFmtId="0" fontId="10" fillId="8" borderId="1" xfId="0" applyFont="1" applyFill="1" applyBorder="1"/>
    <xf numFmtId="0" fontId="10" fillId="8" borderId="1" xfId="0" applyFont="1" applyFill="1" applyBorder="1" applyAlignment="1">
      <alignment horizontal="left" indent="2"/>
    </xf>
    <xf numFmtId="0" fontId="10" fillId="8" borderId="1" xfId="0" applyFont="1" applyFill="1" applyBorder="1" applyAlignment="1">
      <alignment horizontal="left" indent="1"/>
    </xf>
    <xf numFmtId="0" fontId="10" fillId="8" borderId="1" xfId="0" applyFont="1" applyFill="1" applyBorder="1" applyAlignment="1">
      <alignment horizontal="left"/>
    </xf>
    <xf numFmtId="0" fontId="10" fillId="8" borderId="1" xfId="0" applyFont="1" applyFill="1" applyBorder="1" applyAlignment="1">
      <alignment horizontal="left" indent="4"/>
    </xf>
    <xf numFmtId="0" fontId="10" fillId="8" borderId="35" xfId="0" applyFont="1" applyFill="1" applyBorder="1"/>
    <xf numFmtId="0" fontId="10" fillId="8" borderId="23" xfId="0" applyFont="1" applyFill="1" applyBorder="1"/>
    <xf numFmtId="0" fontId="9" fillId="15" borderId="30" xfId="0" applyFont="1" applyFill="1" applyBorder="1"/>
    <xf numFmtId="0" fontId="9" fillId="15" borderId="56" xfId="0" applyFont="1" applyFill="1" applyBorder="1"/>
    <xf numFmtId="0" fontId="9" fillId="15" borderId="41" xfId="0" applyFont="1" applyFill="1" applyBorder="1"/>
    <xf numFmtId="0" fontId="9" fillId="16" borderId="30" xfId="0" applyFont="1" applyFill="1" applyBorder="1"/>
    <xf numFmtId="0" fontId="9" fillId="16" borderId="37" xfId="0" applyFont="1" applyFill="1" applyBorder="1"/>
    <xf numFmtId="0" fontId="0" fillId="8" borderId="48" xfId="0" applyFill="1" applyBorder="1"/>
    <xf numFmtId="0" fontId="0" fillId="8" borderId="44" xfId="0" applyFill="1" applyBorder="1"/>
    <xf numFmtId="0" fontId="0" fillId="8" borderId="49" xfId="0" applyFill="1" applyBorder="1"/>
    <xf numFmtId="0" fontId="0" fillId="8" borderId="47" xfId="0" applyFill="1" applyBorder="1"/>
    <xf numFmtId="0" fontId="0" fillId="8" borderId="50" xfId="0" applyFill="1" applyBorder="1"/>
    <xf numFmtId="0" fontId="10" fillId="8"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2" fillId="0" borderId="5" xfId="0" applyFont="1" applyBorder="1"/>
    <xf numFmtId="0" fontId="0" fillId="0" borderId="58" xfId="0" applyBorder="1"/>
    <xf numFmtId="0" fontId="10" fillId="8" borderId="30" xfId="0" applyFont="1" applyFill="1" applyBorder="1" applyAlignment="1">
      <alignment horizontal="center"/>
    </xf>
    <xf numFmtId="0" fontId="10" fillId="8" borderId="12" xfId="0" applyFont="1" applyFill="1" applyBorder="1" applyAlignment="1">
      <alignment horizontal="center"/>
    </xf>
    <xf numFmtId="0" fontId="10" fillId="8" borderId="7" xfId="0" applyFont="1" applyFill="1" applyBorder="1" applyAlignment="1">
      <alignment horizontal="center"/>
    </xf>
    <xf numFmtId="0" fontId="10" fillId="8" borderId="9" xfId="0" applyFont="1" applyFill="1" applyBorder="1"/>
    <xf numFmtId="0" fontId="10" fillId="8" borderId="0" xfId="0" applyFont="1" applyFill="1"/>
    <xf numFmtId="0" fontId="10" fillId="8" borderId="50" xfId="0" applyFont="1" applyFill="1" applyBorder="1"/>
    <xf numFmtId="0" fontId="10" fillId="8" borderId="58" xfId="0" applyFont="1" applyFill="1" applyBorder="1"/>
    <xf numFmtId="0" fontId="10" fillId="8" borderId="55" xfId="0" applyFont="1" applyFill="1" applyBorder="1"/>
    <xf numFmtId="0" fontId="9" fillId="10" borderId="41" xfId="0" applyFont="1" applyFill="1" applyBorder="1" applyAlignment="1">
      <alignment horizontal="center"/>
    </xf>
    <xf numFmtId="0" fontId="9" fillId="10" borderId="42" xfId="0" applyFont="1" applyFill="1" applyBorder="1" applyAlignment="1">
      <alignment horizontal="center"/>
    </xf>
    <xf numFmtId="0" fontId="9" fillId="10" borderId="43" xfId="0" applyFont="1" applyFill="1" applyBorder="1" applyAlignment="1">
      <alignment horizontal="center"/>
    </xf>
    <xf numFmtId="0" fontId="10" fillId="8" borderId="7" xfId="0" applyFont="1" applyFill="1" applyBorder="1"/>
    <xf numFmtId="0" fontId="0" fillId="0" borderId="32" xfId="0" applyBorder="1"/>
    <xf numFmtId="0" fontId="9" fillId="10" borderId="41" xfId="0" applyFont="1" applyFill="1" applyBorder="1" applyAlignment="1">
      <alignment horizontal="center" vertical="center"/>
    </xf>
    <xf numFmtId="0" fontId="9" fillId="10" borderId="42" xfId="0" applyFont="1" applyFill="1" applyBorder="1" applyAlignment="1">
      <alignment horizontal="center" vertical="center"/>
    </xf>
    <xf numFmtId="0" fontId="9" fillId="10" borderId="43" xfId="0" applyFont="1" applyFill="1" applyBorder="1" applyAlignment="1">
      <alignment horizontal="center" vertical="center"/>
    </xf>
    <xf numFmtId="0" fontId="10" fillId="8" borderId="9" xfId="0" applyFont="1" applyFill="1" applyBorder="1" applyAlignment="1">
      <alignment horizontal="left" indent="2"/>
    </xf>
    <xf numFmtId="0" fontId="10" fillId="8" borderId="54" xfId="0" applyFont="1" applyFill="1" applyBorder="1"/>
    <xf numFmtId="0" fontId="0" fillId="0" borderId="0" xfId="0" applyAlignment="1">
      <alignment wrapText="1"/>
    </xf>
    <xf numFmtId="0" fontId="9" fillId="10" borderId="60" xfId="0" applyFont="1" applyFill="1" applyBorder="1" applyAlignment="1">
      <alignment horizontal="center" vertical="center"/>
    </xf>
    <xf numFmtId="0" fontId="9" fillId="10" borderId="60" xfId="0" applyFont="1" applyFill="1" applyBorder="1" applyAlignment="1">
      <alignment horizontal="center" vertical="center" wrapText="1"/>
    </xf>
    <xf numFmtId="0" fontId="5" fillId="7" borderId="60" xfId="0" applyFont="1" applyFill="1" applyBorder="1"/>
    <xf numFmtId="0" fontId="0" fillId="0" borderId="60" xfId="0" applyBorder="1"/>
    <xf numFmtId="0" fontId="0" fillId="0" borderId="60" xfId="0" applyBorder="1" applyAlignment="1">
      <alignment wrapText="1"/>
    </xf>
    <xf numFmtId="0" fontId="28" fillId="0" borderId="60" xfId="0" applyFont="1" applyBorder="1"/>
    <xf numFmtId="0" fontId="27" fillId="0" borderId="60" xfId="0" applyFont="1" applyBorder="1" applyAlignment="1">
      <alignment wrapText="1"/>
    </xf>
    <xf numFmtId="0" fontId="27" fillId="0" borderId="60" xfId="0" applyFont="1" applyBorder="1"/>
    <xf numFmtId="0" fontId="2" fillId="0" borderId="60" xfId="0" applyFont="1" applyBorder="1" applyAlignment="1">
      <alignment wrapText="1"/>
    </xf>
    <xf numFmtId="0" fontId="0" fillId="0" borderId="60" xfId="0" applyBorder="1" applyAlignment="1">
      <alignment vertical="top" wrapText="1"/>
    </xf>
    <xf numFmtId="0" fontId="27" fillId="0" borderId="60" xfId="0" applyFont="1" applyBorder="1" applyAlignment="1">
      <alignment vertical="top" wrapText="1"/>
    </xf>
    <xf numFmtId="0" fontId="0" fillId="0" borderId="60" xfId="0" applyBorder="1" applyAlignment="1">
      <alignment vertical="center" wrapText="1"/>
    </xf>
    <xf numFmtId="0" fontId="0" fillId="0" borderId="0" xfId="0" applyAlignment="1">
      <alignment horizontal="left"/>
    </xf>
    <xf numFmtId="0" fontId="10" fillId="8" borderId="63" xfId="0" applyFont="1" applyFill="1" applyBorder="1" applyAlignment="1">
      <alignment horizontal="center"/>
    </xf>
    <xf numFmtId="0" fontId="10" fillId="8" borderId="64" xfId="0" applyFont="1" applyFill="1" applyBorder="1"/>
    <xf numFmtId="0" fontId="9" fillId="14" borderId="29" xfId="0" applyFont="1" applyFill="1" applyBorder="1" applyAlignment="1">
      <alignment vertical="center"/>
    </xf>
    <xf numFmtId="0" fontId="9" fillId="16" borderId="28" xfId="0" applyFont="1" applyFill="1" applyBorder="1"/>
    <xf numFmtId="0" fontId="9" fillId="16" borderId="10" xfId="0" applyFont="1" applyFill="1" applyBorder="1"/>
    <xf numFmtId="0" fontId="9" fillId="10" borderId="0" xfId="0" applyFont="1" applyFill="1" applyAlignment="1">
      <alignment horizontal="center"/>
    </xf>
    <xf numFmtId="0" fontId="10" fillId="8" borderId="64" xfId="0" applyFont="1" applyFill="1" applyBorder="1" applyAlignment="1">
      <alignment horizontal="left" indent="2"/>
    </xf>
    <xf numFmtId="0" fontId="10" fillId="8" borderId="64" xfId="0" applyFont="1" applyFill="1" applyBorder="1" applyAlignment="1">
      <alignment horizontal="left" indent="4"/>
    </xf>
    <xf numFmtId="0" fontId="0" fillId="0" borderId="0" xfId="0" applyAlignment="1">
      <alignment horizontal="left" indent="2"/>
    </xf>
    <xf numFmtId="0" fontId="0" fillId="0" borderId="0" xfId="0" applyAlignment="1">
      <alignment horizontal="left" indent="4"/>
    </xf>
    <xf numFmtId="0" fontId="31" fillId="10" borderId="60" xfId="0" applyFont="1" applyFill="1" applyBorder="1" applyAlignment="1">
      <alignment horizontal="center" vertical="center" wrapText="1"/>
    </xf>
    <xf numFmtId="0" fontId="31" fillId="10" borderId="60" xfId="0" applyFont="1" applyFill="1" applyBorder="1" applyAlignment="1">
      <alignment horizontal="center" vertical="top" wrapText="1"/>
    </xf>
    <xf numFmtId="0" fontId="5" fillId="7" borderId="60" xfId="0" applyFont="1" applyFill="1" applyBorder="1" applyAlignment="1">
      <alignment horizontal="center"/>
    </xf>
    <xf numFmtId="0" fontId="27" fillId="0" borderId="0" xfId="0" applyFont="1"/>
    <xf numFmtId="0" fontId="31" fillId="19" borderId="60" xfId="0" applyFont="1" applyFill="1" applyBorder="1" applyAlignment="1">
      <alignment vertical="top" wrapText="1"/>
    </xf>
    <xf numFmtId="0" fontId="31" fillId="0" borderId="60" xfId="0" applyFont="1" applyBorder="1" applyAlignment="1">
      <alignment vertical="top" wrapText="1"/>
    </xf>
    <xf numFmtId="0" fontId="31" fillId="0" borderId="60" xfId="0" applyFont="1" applyBorder="1" applyAlignment="1">
      <alignment horizontal="center" vertical="top" wrapText="1"/>
    </xf>
    <xf numFmtId="0" fontId="31" fillId="0" borderId="60" xfId="0" applyFont="1" applyBorder="1"/>
    <xf numFmtId="0" fontId="31" fillId="0" borderId="60" xfId="0" applyFont="1" applyBorder="1" applyAlignment="1">
      <alignment wrapText="1"/>
    </xf>
    <xf numFmtId="0" fontId="25" fillId="0" borderId="60" xfId="0" applyFont="1" applyBorder="1" applyAlignment="1">
      <alignment wrapText="1"/>
    </xf>
    <xf numFmtId="0" fontId="4" fillId="0" borderId="60" xfId="0" applyFont="1" applyBorder="1"/>
    <xf numFmtId="0" fontId="19" fillId="0" borderId="60" xfId="0" applyFont="1" applyBorder="1" applyAlignment="1">
      <alignment vertical="top" wrapText="1"/>
    </xf>
    <xf numFmtId="0" fontId="32" fillId="0" borderId="60" xfId="0" applyFont="1" applyBorder="1" applyAlignment="1">
      <alignment vertical="top" wrapText="1"/>
    </xf>
    <xf numFmtId="0" fontId="31" fillId="19" borderId="60" xfId="0" applyFont="1" applyFill="1" applyBorder="1" applyAlignment="1">
      <alignment wrapText="1"/>
    </xf>
    <xf numFmtId="0" fontId="27" fillId="18" borderId="60" xfId="0" applyFont="1" applyFill="1" applyBorder="1" applyAlignment="1">
      <alignment wrapText="1"/>
    </xf>
    <xf numFmtId="0" fontId="31" fillId="0" borderId="62" xfId="0" applyFont="1" applyBorder="1" applyAlignment="1">
      <alignment wrapText="1"/>
    </xf>
    <xf numFmtId="0" fontId="34" fillId="0" borderId="60" xfId="0" applyFont="1" applyBorder="1" applyAlignment="1">
      <alignment wrapText="1"/>
    </xf>
    <xf numFmtId="0" fontId="31" fillId="20" borderId="60" xfId="0" applyFont="1" applyFill="1" applyBorder="1" applyAlignment="1">
      <alignment wrapText="1"/>
    </xf>
    <xf numFmtId="0" fontId="35" fillId="0" borderId="60" xfId="0" applyFont="1" applyBorder="1" applyAlignment="1">
      <alignment wrapText="1"/>
    </xf>
    <xf numFmtId="0" fontId="4" fillId="0" borderId="60" xfId="0" applyFont="1" applyBorder="1" applyAlignment="1">
      <alignment wrapText="1"/>
    </xf>
    <xf numFmtId="0" fontId="35" fillId="0" borderId="60" xfId="0" applyFont="1" applyBorder="1" applyAlignment="1">
      <alignment vertical="top" wrapText="1"/>
    </xf>
    <xf numFmtId="0" fontId="27" fillId="0" borderId="60" xfId="0" applyFont="1" applyBorder="1" applyAlignment="1">
      <alignment vertical="top"/>
    </xf>
    <xf numFmtId="0" fontId="36" fillId="0" borderId="60" xfId="0" applyFont="1" applyBorder="1" applyAlignment="1">
      <alignment vertical="top" wrapText="1"/>
    </xf>
    <xf numFmtId="0" fontId="37" fillId="0" borderId="60" xfId="0" applyFont="1" applyBorder="1" applyAlignment="1">
      <alignment wrapText="1"/>
    </xf>
    <xf numFmtId="0" fontId="31" fillId="0" borderId="60" xfId="0" applyFont="1" applyBorder="1" applyAlignment="1">
      <alignment vertical="center" wrapText="1"/>
    </xf>
    <xf numFmtId="0" fontId="4" fillId="0" borderId="60" xfId="0" applyFont="1" applyBorder="1" applyAlignment="1">
      <alignment vertical="center"/>
    </xf>
    <xf numFmtId="0" fontId="27" fillId="0" borderId="60" xfId="0" applyFont="1" applyBorder="1" applyAlignment="1">
      <alignment vertical="center"/>
    </xf>
    <xf numFmtId="0" fontId="31" fillId="0" borderId="60" xfId="0" applyFont="1" applyBorder="1" applyAlignment="1">
      <alignment vertical="center"/>
    </xf>
    <xf numFmtId="0" fontId="31" fillId="0" borderId="0" xfId="0" applyFont="1" applyAlignment="1">
      <alignment wrapText="1"/>
    </xf>
    <xf numFmtId="0" fontId="27" fillId="0" borderId="0" xfId="0" applyFont="1" applyAlignment="1">
      <alignment vertical="top" wrapText="1"/>
    </xf>
    <xf numFmtId="0" fontId="31" fillId="0" borderId="0" xfId="0" applyFont="1" applyAlignment="1">
      <alignment horizontal="center" wrapText="1"/>
    </xf>
    <xf numFmtId="0" fontId="0" fillId="0" borderId="1" xfId="0" applyBorder="1" applyAlignment="1">
      <alignment horizontal="center"/>
    </xf>
    <xf numFmtId="0" fontId="27" fillId="0" borderId="0" xfId="0" applyFont="1" applyAlignment="1">
      <alignment horizontal="center" vertical="top" wrapText="1"/>
    </xf>
    <xf numFmtId="0" fontId="31" fillId="0" borderId="0" xfId="0" applyFont="1" applyAlignment="1">
      <alignment horizontal="center" vertical="top" wrapText="1"/>
    </xf>
    <xf numFmtId="0" fontId="0" fillId="0" borderId="0" xfId="0" applyAlignment="1">
      <alignment horizontal="center"/>
    </xf>
    <xf numFmtId="0" fontId="0" fillId="0" borderId="9" xfId="0" applyBorder="1" applyAlignment="1">
      <alignment horizontal="center"/>
    </xf>
    <xf numFmtId="0" fontId="21" fillId="0" borderId="1" xfId="0" applyFont="1" applyBorder="1" applyAlignment="1">
      <alignment horizontal="center"/>
    </xf>
    <xf numFmtId="0" fontId="21" fillId="0" borderId="1" xfId="0" applyFont="1" applyBorder="1" applyAlignment="1">
      <alignment horizontal="center" wrapText="1"/>
    </xf>
    <xf numFmtId="0" fontId="0" fillId="0" borderId="8" xfId="0" applyBorder="1" applyAlignment="1">
      <alignment horizontal="center"/>
    </xf>
    <xf numFmtId="0" fontId="20" fillId="0" borderId="1" xfId="0" applyFont="1" applyBorder="1" applyAlignment="1">
      <alignment horizontal="center"/>
    </xf>
    <xf numFmtId="0" fontId="22" fillId="0" borderId="1" xfId="0" applyFont="1" applyBorder="1" applyAlignment="1">
      <alignment horizontal="center" wrapText="1"/>
    </xf>
    <xf numFmtId="0" fontId="0" fillId="0" borderId="14" xfId="0" applyBorder="1" applyAlignment="1">
      <alignment horizontal="center"/>
    </xf>
    <xf numFmtId="0" fontId="0" fillId="0" borderId="34" xfId="0" applyBorder="1" applyAlignment="1">
      <alignment horizontal="center"/>
    </xf>
    <xf numFmtId="0" fontId="31" fillId="0" borderId="67" xfId="0" applyFont="1" applyBorder="1" applyAlignment="1">
      <alignment wrapText="1"/>
    </xf>
    <xf numFmtId="0" fontId="31" fillId="0" borderId="68" xfId="0" applyFont="1" applyBorder="1" applyAlignment="1">
      <alignment wrapText="1"/>
    </xf>
    <xf numFmtId="0" fontId="0" fillId="0" borderId="38" xfId="0" applyBorder="1" applyAlignment="1">
      <alignment horizontal="center"/>
    </xf>
    <xf numFmtId="0" fontId="0" fillId="0" borderId="39" xfId="0" applyBorder="1" applyAlignment="1">
      <alignment horizontal="center"/>
    </xf>
    <xf numFmtId="0" fontId="0" fillId="0" borderId="69" xfId="0" applyBorder="1" applyAlignment="1">
      <alignment horizontal="center"/>
    </xf>
    <xf numFmtId="0" fontId="0" fillId="0" borderId="70" xfId="0" applyBorder="1" applyAlignment="1">
      <alignment horizontal="center"/>
    </xf>
    <xf numFmtId="0" fontId="0" fillId="0" borderId="71" xfId="0" applyBorder="1" applyAlignment="1">
      <alignment horizontal="center"/>
    </xf>
    <xf numFmtId="0" fontId="0" fillId="0" borderId="72" xfId="0" applyBorder="1" applyAlignment="1">
      <alignment horizontal="center"/>
    </xf>
    <xf numFmtId="0" fontId="0" fillId="0" borderId="29" xfId="0" applyBorder="1" applyAlignment="1">
      <alignment horizontal="center"/>
    </xf>
    <xf numFmtId="0" fontId="0" fillId="0" borderId="28" xfId="0" applyBorder="1" applyAlignment="1">
      <alignment horizontal="center"/>
    </xf>
    <xf numFmtId="0" fontId="0" fillId="0" borderId="10" xfId="0" applyBorder="1" applyAlignment="1">
      <alignment horizontal="center"/>
    </xf>
    <xf numFmtId="0" fontId="9" fillId="10" borderId="61" xfId="0" applyFont="1" applyFill="1" applyBorder="1" applyAlignment="1">
      <alignment horizontal="center" vertical="top" wrapText="1"/>
    </xf>
    <xf numFmtId="0" fontId="9" fillId="10" borderId="61" xfId="0" applyFont="1" applyFill="1" applyBorder="1" applyAlignment="1">
      <alignment horizontal="center" vertical="center" wrapText="1"/>
    </xf>
    <xf numFmtId="0" fontId="2" fillId="0" borderId="60" xfId="0" applyFont="1" applyBorder="1"/>
    <xf numFmtId="0" fontId="0" fillId="0" borderId="65" xfId="0" applyBorder="1" applyAlignment="1">
      <alignment wrapText="1"/>
    </xf>
    <xf numFmtId="0" fontId="0" fillId="0" borderId="66" xfId="0" applyBorder="1"/>
    <xf numFmtId="0" fontId="2" fillId="0" borderId="65" xfId="0" applyFont="1" applyBorder="1" applyAlignment="1">
      <alignment wrapText="1"/>
    </xf>
    <xf numFmtId="0" fontId="2" fillId="0" borderId="65" xfId="0" applyFont="1" applyBorder="1"/>
    <xf numFmtId="0" fontId="0" fillId="0" borderId="62" xfId="0" applyBorder="1" applyAlignment="1">
      <alignment vertical="top" wrapText="1"/>
    </xf>
    <xf numFmtId="0" fontId="0" fillId="0" borderId="62" xfId="0" applyBorder="1" applyAlignment="1">
      <alignment wrapText="1"/>
    </xf>
    <xf numFmtId="0" fontId="34" fillId="0" borderId="60" xfId="0" applyFont="1" applyBorder="1" applyAlignment="1">
      <alignment vertical="top" wrapText="1"/>
    </xf>
    <xf numFmtId="0" fontId="2" fillId="0" borderId="60" xfId="0" applyFont="1" applyBorder="1" applyAlignment="1">
      <alignment vertical="top" wrapText="1"/>
    </xf>
    <xf numFmtId="0" fontId="2" fillId="0" borderId="60" xfId="0" applyFont="1" applyBorder="1" applyAlignment="1">
      <alignment vertical="center" wrapText="1"/>
    </xf>
    <xf numFmtId="0" fontId="0" fillId="0" borderId="60" xfId="0" applyBorder="1" applyAlignment="1">
      <alignment vertical="center"/>
    </xf>
    <xf numFmtId="0" fontId="0" fillId="0" borderId="30" xfId="0" applyBorder="1"/>
    <xf numFmtId="0" fontId="0" fillId="0" borderId="12" xfId="0" applyBorder="1" applyAlignment="1">
      <alignment wrapText="1"/>
    </xf>
    <xf numFmtId="0" fontId="2" fillId="0" borderId="12" xfId="0" applyFont="1" applyBorder="1" applyAlignment="1">
      <alignment horizontal="center" vertical="top" wrapText="1"/>
    </xf>
    <xf numFmtId="0" fontId="2" fillId="0" borderId="12" xfId="0" applyFont="1" applyBorder="1" applyAlignment="1">
      <alignment horizontal="center" wrapText="1"/>
    </xf>
    <xf numFmtId="0" fontId="0" fillId="0" borderId="1" xfId="0" applyBorder="1" applyAlignment="1">
      <alignment horizontal="left"/>
    </xf>
    <xf numFmtId="0" fontId="2" fillId="0" borderId="1" xfId="0" applyFont="1" applyBorder="1" applyAlignment="1">
      <alignment horizontal="center" vertical="top" wrapText="1"/>
    </xf>
    <xf numFmtId="0" fontId="2" fillId="0" borderId="1" xfId="0" applyFont="1" applyBorder="1" applyAlignment="1">
      <alignment horizontal="center" wrapText="1"/>
    </xf>
    <xf numFmtId="0" fontId="2" fillId="0" borderId="1" xfId="0" applyFont="1" applyBorder="1" applyAlignment="1">
      <alignment horizontal="left" vertical="top" wrapText="1"/>
    </xf>
    <xf numFmtId="0" fontId="0" fillId="0" borderId="1" xfId="0" applyBorder="1" applyAlignment="1">
      <alignment horizontal="left" wrapText="1"/>
    </xf>
    <xf numFmtId="0" fontId="0" fillId="0" borderId="1" xfId="0" applyBorder="1" applyAlignment="1">
      <alignment horizontal="center" wrapText="1"/>
    </xf>
    <xf numFmtId="0" fontId="0" fillId="0" borderId="29" xfId="0" applyBorder="1"/>
    <xf numFmtId="0" fontId="2" fillId="0" borderId="28" xfId="0" applyFont="1" applyBorder="1" applyAlignment="1">
      <alignment wrapText="1"/>
    </xf>
    <xf numFmtId="0" fontId="2" fillId="0" borderId="28" xfId="0" applyFont="1" applyBorder="1" applyAlignment="1">
      <alignment horizontal="center" vertical="top" wrapText="1"/>
    </xf>
    <xf numFmtId="0" fontId="2" fillId="0" borderId="28" xfId="0" applyFont="1" applyBorder="1" applyAlignment="1">
      <alignment horizontal="center" wrapText="1"/>
    </xf>
    <xf numFmtId="0" fontId="0" fillId="0" borderId="0" xfId="0" applyAlignment="1">
      <alignment horizontal="center" vertical="top" wrapText="1"/>
    </xf>
    <xf numFmtId="0" fontId="33" fillId="0" borderId="60" xfId="0" applyFont="1" applyBorder="1" applyAlignment="1">
      <alignment wrapText="1"/>
    </xf>
    <xf numFmtId="0" fontId="25" fillId="0" borderId="60" xfId="0" applyFont="1" applyBorder="1"/>
    <xf numFmtId="0" fontId="30" fillId="0" borderId="60" xfId="0" applyFont="1" applyBorder="1" applyAlignment="1">
      <alignment wrapText="1"/>
    </xf>
    <xf numFmtId="0" fontId="38" fillId="0" borderId="60" xfId="0" applyFont="1" applyBorder="1" applyAlignment="1">
      <alignment wrapText="1"/>
    </xf>
    <xf numFmtId="0" fontId="31" fillId="0" borderId="0" xfId="0" applyFont="1"/>
    <xf numFmtId="0" fontId="2" fillId="0" borderId="60" xfId="0" applyFont="1" applyBorder="1" applyAlignment="1">
      <alignment horizontal="center"/>
    </xf>
    <xf numFmtId="0" fontId="21" fillId="0" borderId="60" xfId="0" applyFont="1" applyBorder="1" applyAlignment="1">
      <alignment horizontal="center"/>
    </xf>
    <xf numFmtId="0" fontId="0" fillId="0" borderId="60" xfId="0" applyBorder="1" applyAlignment="1">
      <alignment horizontal="center"/>
    </xf>
    <xf numFmtId="0" fontId="20" fillId="0" borderId="60" xfId="0" applyFont="1" applyBorder="1" applyAlignment="1">
      <alignment horizontal="center"/>
    </xf>
    <xf numFmtId="0" fontId="26" fillId="0" borderId="5" xfId="0" applyFont="1" applyBorder="1" applyAlignment="1">
      <alignment horizontal="center" vertical="center" textRotation="90"/>
    </xf>
    <xf numFmtId="0" fontId="0" fillId="0" borderId="5" xfId="0" applyBorder="1" applyAlignment="1">
      <alignment horizontal="center"/>
    </xf>
    <xf numFmtId="0" fontId="29" fillId="0" borderId="5" xfId="0" applyFont="1" applyBorder="1" applyAlignment="1">
      <alignment horizontal="center" vertical="center" textRotation="90"/>
    </xf>
    <xf numFmtId="0" fontId="0" fillId="0" borderId="11" xfId="0" applyBorder="1" applyAlignment="1">
      <alignment horizontal="center"/>
    </xf>
    <xf numFmtId="0" fontId="31" fillId="0" borderId="73" xfId="0" applyFont="1" applyBorder="1" applyAlignment="1">
      <alignment wrapText="1"/>
    </xf>
    <xf numFmtId="0" fontId="23" fillId="0" borderId="1" xfId="0" applyFont="1" applyBorder="1" applyAlignment="1">
      <alignment horizontal="center" vertical="top" wrapText="1"/>
    </xf>
    <xf numFmtId="0" fontId="2" fillId="0" borderId="60" xfId="0" applyFont="1" applyBorder="1" applyAlignment="1">
      <alignment horizontal="center" vertical="top"/>
    </xf>
    <xf numFmtId="0" fontId="9" fillId="10" borderId="11" xfId="0" applyFont="1" applyFill="1" applyBorder="1" applyAlignment="1">
      <alignment horizontal="center" vertical="top"/>
    </xf>
    <xf numFmtId="0" fontId="9" fillId="10" borderId="14" xfId="0" applyFont="1" applyFill="1" applyBorder="1" applyAlignment="1">
      <alignment horizontal="center" vertical="top"/>
    </xf>
    <xf numFmtId="0" fontId="5" fillId="7" borderId="59" xfId="0" applyFont="1" applyFill="1" applyBorder="1" applyAlignment="1">
      <alignment horizontal="center" vertical="top"/>
    </xf>
    <xf numFmtId="0" fontId="5" fillId="7" borderId="42" xfId="0" applyFont="1" applyFill="1" applyBorder="1" applyAlignment="1">
      <alignment horizontal="center" vertical="top"/>
    </xf>
    <xf numFmtId="0" fontId="5" fillId="7" borderId="43" xfId="0" applyFont="1" applyFill="1" applyBorder="1" applyAlignment="1">
      <alignment horizontal="center" vertical="top"/>
    </xf>
    <xf numFmtId="0" fontId="21" fillId="0" borderId="60" xfId="0" applyFont="1" applyBorder="1" applyAlignment="1">
      <alignment horizontal="center" vertical="top"/>
    </xf>
    <xf numFmtId="0" fontId="21" fillId="0" borderId="12" xfId="0" applyFont="1" applyBorder="1" applyAlignment="1">
      <alignment horizontal="center" vertical="top"/>
    </xf>
    <xf numFmtId="0" fontId="0" fillId="0" borderId="12" xfId="0" applyBorder="1" applyAlignment="1">
      <alignment horizontal="center" vertical="top"/>
    </xf>
    <xf numFmtId="0" fontId="0" fillId="0" borderId="7" xfId="0" applyBorder="1" applyAlignment="1">
      <alignment horizontal="center" vertical="top"/>
    </xf>
    <xf numFmtId="0" fontId="0" fillId="0" borderId="60" xfId="0" applyBorder="1" applyAlignment="1">
      <alignment horizontal="center" vertical="top"/>
    </xf>
    <xf numFmtId="0" fontId="0" fillId="0" borderId="1" xfId="0" applyBorder="1" applyAlignment="1">
      <alignment horizontal="center" vertical="top"/>
    </xf>
    <xf numFmtId="0" fontId="0" fillId="0" borderId="9" xfId="0" applyBorder="1" applyAlignment="1">
      <alignment horizontal="center" vertical="top"/>
    </xf>
    <xf numFmtId="0" fontId="21" fillId="0" borderId="1" xfId="0" applyFont="1" applyBorder="1" applyAlignment="1">
      <alignment horizontal="center" vertical="top"/>
    </xf>
    <xf numFmtId="0" fontId="21" fillId="0" borderId="1" xfId="0" applyFont="1" applyBorder="1" applyAlignment="1">
      <alignment horizontal="center" vertical="top" wrapText="1"/>
    </xf>
    <xf numFmtId="0" fontId="24" fillId="17" borderId="1" xfId="0" applyFont="1" applyFill="1" applyBorder="1" applyAlignment="1">
      <alignment horizontal="center" vertical="top" wrapText="1"/>
    </xf>
    <xf numFmtId="0" fontId="19" fillId="0" borderId="1" xfId="0" applyFont="1" applyBorder="1" applyAlignment="1">
      <alignment horizontal="left" vertical="top" wrapText="1"/>
    </xf>
    <xf numFmtId="0" fontId="0" fillId="0" borderId="47" xfId="0" applyBorder="1"/>
    <xf numFmtId="0" fontId="2" fillId="21" borderId="48" xfId="0" applyFont="1" applyFill="1" applyBorder="1"/>
    <xf numFmtId="0" fontId="2" fillId="0" borderId="48" xfId="0" applyFont="1" applyBorder="1"/>
    <xf numFmtId="0" fontId="9" fillId="15" borderId="59" xfId="0" applyFont="1" applyFill="1" applyBorder="1"/>
    <xf numFmtId="0" fontId="9" fillId="15" borderId="42" xfId="0" applyFont="1" applyFill="1" applyBorder="1"/>
    <xf numFmtId="0" fontId="9" fillId="15" borderId="74" xfId="0" applyFont="1" applyFill="1" applyBorder="1"/>
    <xf numFmtId="0" fontId="9" fillId="15" borderId="54" xfId="0" applyFont="1" applyFill="1" applyBorder="1"/>
    <xf numFmtId="0" fontId="9" fillId="15" borderId="35" xfId="0" applyFont="1" applyFill="1" applyBorder="1"/>
    <xf numFmtId="0" fontId="9" fillId="15" borderId="23" xfId="0" applyFont="1" applyFill="1" applyBorder="1"/>
    <xf numFmtId="0" fontId="0" fillId="0" borderId="75" xfId="0" applyBorder="1"/>
    <xf numFmtId="0" fontId="39" fillId="0" borderId="30" xfId="0" applyFont="1" applyBorder="1"/>
    <xf numFmtId="0" fontId="39" fillId="0" borderId="12" xfId="0" applyFont="1" applyBorder="1"/>
    <xf numFmtId="0" fontId="39" fillId="0" borderId="7" xfId="0" applyFont="1" applyBorder="1"/>
    <xf numFmtId="2" fontId="0" fillId="0" borderId="30" xfId="0" applyNumberFormat="1" applyBorder="1" applyAlignment="1">
      <alignment horizontal="right"/>
    </xf>
    <xf numFmtId="2" fontId="0" fillId="0" borderId="12" xfId="0" applyNumberFormat="1" applyBorder="1" applyAlignment="1">
      <alignment horizontal="right"/>
    </xf>
    <xf numFmtId="2" fontId="0" fillId="0" borderId="7" xfId="0" applyNumberFormat="1" applyBorder="1" applyAlignment="1">
      <alignment horizontal="right"/>
    </xf>
    <xf numFmtId="0" fontId="0" fillId="0" borderId="76" xfId="0" applyBorder="1"/>
    <xf numFmtId="0" fontId="39" fillId="0" borderId="8" xfId="0" applyFont="1" applyBorder="1"/>
    <xf numFmtId="0" fontId="39" fillId="0" borderId="1" xfId="0" applyFont="1" applyBorder="1"/>
    <xf numFmtId="0" fontId="39" fillId="0" borderId="9" xfId="0" applyFont="1" applyBorder="1"/>
    <xf numFmtId="2" fontId="0" fillId="0" borderId="8" xfId="0" applyNumberFormat="1" applyBorder="1" applyAlignment="1">
      <alignment horizontal="right"/>
    </xf>
    <xf numFmtId="2" fontId="0" fillId="0" borderId="1" xfId="0" applyNumberFormat="1" applyBorder="1" applyAlignment="1">
      <alignment horizontal="right"/>
    </xf>
    <xf numFmtId="2" fontId="0" fillId="0" borderId="9" xfId="0" applyNumberFormat="1" applyBorder="1" applyAlignment="1">
      <alignment horizontal="right"/>
    </xf>
    <xf numFmtId="0" fontId="0" fillId="0" borderId="77" xfId="0" applyBorder="1"/>
    <xf numFmtId="0" fontId="39" fillId="0" borderId="29" xfId="0" applyFont="1" applyBorder="1"/>
    <xf numFmtId="0" fontId="39" fillId="0" borderId="28" xfId="0" applyFont="1" applyBorder="1"/>
    <xf numFmtId="0" fontId="39" fillId="0" borderId="10" xfId="0" applyFont="1" applyBorder="1"/>
    <xf numFmtId="2" fontId="0" fillId="0" borderId="29" xfId="0" applyNumberFormat="1" applyBorder="1" applyAlignment="1">
      <alignment horizontal="right"/>
    </xf>
    <xf numFmtId="2" fontId="0" fillId="0" borderId="28" xfId="0" applyNumberFormat="1" applyBorder="1" applyAlignment="1">
      <alignment horizontal="right"/>
    </xf>
    <xf numFmtId="2" fontId="0" fillId="0" borderId="10" xfId="0" applyNumberFormat="1" applyBorder="1" applyAlignment="1">
      <alignment horizontal="right"/>
    </xf>
    <xf numFmtId="0" fontId="5" fillId="23" borderId="57" xfId="0" applyFont="1" applyFill="1" applyBorder="1" applyAlignment="1">
      <alignment horizontal="center"/>
    </xf>
    <xf numFmtId="0" fontId="5" fillId="23" borderId="43" xfId="0" applyFont="1" applyFill="1" applyBorder="1" applyAlignment="1">
      <alignment horizontal="center"/>
    </xf>
    <xf numFmtId="0" fontId="5" fillId="23" borderId="32" xfId="0" applyFont="1" applyFill="1" applyBorder="1" applyAlignment="1">
      <alignment horizontal="center"/>
    </xf>
    <xf numFmtId="0" fontId="5" fillId="23" borderId="31" xfId="0" applyFont="1" applyFill="1" applyBorder="1" applyAlignment="1">
      <alignment horizontal="center"/>
    </xf>
    <xf numFmtId="0" fontId="5" fillId="9" borderId="37" xfId="0" applyFont="1" applyFill="1" applyBorder="1"/>
    <xf numFmtId="2" fontId="0" fillId="0" borderId="0" xfId="0" applyNumberFormat="1" applyAlignment="1">
      <alignment horizontal="right"/>
    </xf>
    <xf numFmtId="165" fontId="40" fillId="24" borderId="1" xfId="2" applyNumberFormat="1" applyFont="1" applyFill="1" applyBorder="1" applyAlignment="1">
      <alignment horizontal="center" vertical="center" wrapText="1"/>
    </xf>
    <xf numFmtId="165" fontId="41" fillId="0" borderId="1" xfId="2" applyNumberFormat="1" applyFont="1" applyFill="1" applyBorder="1" applyAlignment="1">
      <alignment horizontal="center" vertical="center" wrapText="1"/>
    </xf>
    <xf numFmtId="165" fontId="41" fillId="0" borderId="1" xfId="2" applyNumberFormat="1" applyFont="1" applyFill="1" applyBorder="1" applyAlignment="1">
      <alignment horizontal="center" vertical="center"/>
    </xf>
    <xf numFmtId="165" fontId="41" fillId="0" borderId="3" xfId="2" applyNumberFormat="1" applyFont="1" applyFill="1" applyBorder="1" applyAlignment="1">
      <alignment horizontal="center" vertical="center"/>
    </xf>
    <xf numFmtId="165" fontId="41" fillId="0" borderId="0" xfId="2" applyNumberFormat="1" applyFont="1" applyFill="1" applyBorder="1" applyAlignment="1">
      <alignment horizontal="center" vertical="center"/>
    </xf>
    <xf numFmtId="165" fontId="41" fillId="0" borderId="23" xfId="2" applyNumberFormat="1" applyFont="1" applyFill="1" applyBorder="1" applyAlignment="1">
      <alignment horizontal="center" vertical="center"/>
    </xf>
    <xf numFmtId="165" fontId="41" fillId="28" borderId="23" xfId="2" applyNumberFormat="1" applyFont="1" applyFill="1" applyBorder="1" applyAlignment="1">
      <alignment horizontal="center" vertical="center"/>
    </xf>
    <xf numFmtId="165" fontId="41" fillId="18" borderId="1" xfId="2" applyNumberFormat="1" applyFont="1" applyFill="1" applyBorder="1" applyAlignment="1">
      <alignment horizontal="center" vertical="center"/>
    </xf>
    <xf numFmtId="0" fontId="0" fillId="0" borderId="1" xfId="0" applyBorder="1" applyAlignment="1">
      <alignment horizontal="center" vertical="center"/>
    </xf>
    <xf numFmtId="0" fontId="0" fillId="0" borderId="23" xfId="0" applyBorder="1" applyAlignment="1">
      <alignment horizontal="center"/>
    </xf>
    <xf numFmtId="0" fontId="43" fillId="0" borderId="0" xfId="0" applyFont="1"/>
    <xf numFmtId="0" fontId="43" fillId="0" borderId="0" xfId="0" applyFont="1" applyAlignment="1">
      <alignment horizontal="center"/>
    </xf>
    <xf numFmtId="0" fontId="5" fillId="30" borderId="48" xfId="0" applyFont="1" applyFill="1" applyBorder="1" applyAlignment="1">
      <alignment horizontal="center" vertical="top" wrapText="1"/>
    </xf>
    <xf numFmtId="0" fontId="5" fillId="32" borderId="37" xfId="0" applyFont="1" applyFill="1" applyBorder="1" applyAlignment="1">
      <alignment vertical="top"/>
    </xf>
    <xf numFmtId="0" fontId="5" fillId="32" borderId="37" xfId="0" applyFont="1" applyFill="1" applyBorder="1" applyAlignment="1">
      <alignment horizontal="center" vertical="top" wrapText="1"/>
    </xf>
    <xf numFmtId="0" fontId="5" fillId="32" borderId="40" xfId="0" applyFont="1" applyFill="1" applyBorder="1" applyAlignment="1">
      <alignment horizontal="center" vertical="top" wrapText="1"/>
    </xf>
    <xf numFmtId="0" fontId="9" fillId="15" borderId="15" xfId="0" applyFont="1" applyFill="1" applyBorder="1"/>
    <xf numFmtId="0" fontId="9" fillId="15" borderId="37" xfId="0" applyFont="1" applyFill="1" applyBorder="1"/>
    <xf numFmtId="0" fontId="9" fillId="15" borderId="40" xfId="0" applyFont="1" applyFill="1" applyBorder="1"/>
    <xf numFmtId="1" fontId="0" fillId="0" borderId="7" xfId="0" applyNumberFormat="1" applyBorder="1" applyAlignment="1">
      <alignment horizontal="right"/>
    </xf>
    <xf numFmtId="1" fontId="0" fillId="0" borderId="13" xfId="0" applyNumberFormat="1" applyBorder="1" applyAlignment="1">
      <alignment horizontal="right"/>
    </xf>
    <xf numFmtId="1" fontId="0" fillId="0" borderId="9" xfId="0" applyNumberFormat="1" applyBorder="1" applyAlignment="1">
      <alignment horizontal="right"/>
    </xf>
    <xf numFmtId="1" fontId="0" fillId="0" borderId="5" xfId="0" applyNumberFormat="1" applyBorder="1" applyAlignment="1">
      <alignment horizontal="right"/>
    </xf>
    <xf numFmtId="1" fontId="0" fillId="0" borderId="10" xfId="0" applyNumberFormat="1" applyBorder="1" applyAlignment="1">
      <alignment horizontal="right"/>
    </xf>
    <xf numFmtId="1" fontId="0" fillId="0" borderId="58" xfId="0" applyNumberFormat="1" applyBorder="1" applyAlignment="1">
      <alignment horizontal="right"/>
    </xf>
    <xf numFmtId="1" fontId="5" fillId="9" borderId="39" xfId="0" applyNumberFormat="1" applyFont="1" applyFill="1" applyBorder="1" applyAlignment="1">
      <alignment horizontal="right"/>
    </xf>
    <xf numFmtId="1" fontId="5" fillId="9" borderId="78" xfId="0" applyNumberFormat="1" applyFont="1" applyFill="1" applyBorder="1" applyAlignment="1">
      <alignment horizontal="right"/>
    </xf>
    <xf numFmtId="1" fontId="5" fillId="9" borderId="38" xfId="0" applyNumberFormat="1" applyFont="1" applyFill="1" applyBorder="1" applyAlignment="1">
      <alignment horizontal="right"/>
    </xf>
    <xf numFmtId="0" fontId="2" fillId="22" borderId="15" xfId="0" applyFont="1" applyFill="1" applyBorder="1" applyAlignment="1">
      <alignment horizontal="center"/>
    </xf>
    <xf numFmtId="0" fontId="2" fillId="22" borderId="16" xfId="0" applyFont="1" applyFill="1" applyBorder="1" applyAlignment="1">
      <alignment horizontal="center"/>
    </xf>
    <xf numFmtId="0" fontId="2" fillId="22" borderId="17" xfId="0" applyFont="1" applyFill="1" applyBorder="1" applyAlignment="1">
      <alignment horizontal="center"/>
    </xf>
    <xf numFmtId="0" fontId="5" fillId="31" borderId="15" xfId="0" applyFont="1" applyFill="1" applyBorder="1" applyAlignment="1">
      <alignment horizontal="center" vertical="center" wrapText="1"/>
    </xf>
    <xf numFmtId="0" fontId="5" fillId="31" borderId="16" xfId="0" applyFont="1" applyFill="1" applyBorder="1" applyAlignment="1">
      <alignment horizontal="center" vertical="center"/>
    </xf>
    <xf numFmtId="0" fontId="5" fillId="31" borderId="17" xfId="0" applyFont="1" applyFill="1" applyBorder="1" applyAlignment="1">
      <alignment horizontal="center" vertical="center"/>
    </xf>
    <xf numFmtId="0" fontId="9" fillId="16" borderId="15" xfId="0" applyFont="1" applyFill="1" applyBorder="1" applyAlignment="1">
      <alignment horizontal="center"/>
    </xf>
    <xf numFmtId="0" fontId="9" fillId="16" borderId="16" xfId="0" applyFont="1" applyFill="1" applyBorder="1" applyAlignment="1">
      <alignment horizontal="center"/>
    </xf>
    <xf numFmtId="0" fontId="9" fillId="16" borderId="17" xfId="0" applyFont="1" applyFill="1" applyBorder="1" applyAlignment="1">
      <alignment horizontal="center"/>
    </xf>
    <xf numFmtId="0" fontId="5" fillId="31" borderId="16" xfId="0" applyFont="1" applyFill="1" applyBorder="1" applyAlignment="1">
      <alignment horizontal="center" vertical="center" wrapText="1"/>
    </xf>
    <xf numFmtId="0" fontId="5" fillId="31" borderId="17" xfId="0" applyFont="1" applyFill="1" applyBorder="1" applyAlignment="1">
      <alignment horizontal="center" vertical="center" wrapText="1"/>
    </xf>
    <xf numFmtId="0" fontId="5" fillId="31" borderId="15" xfId="0" applyFont="1" applyFill="1" applyBorder="1" applyAlignment="1">
      <alignment horizontal="center" vertical="center"/>
    </xf>
    <xf numFmtId="165" fontId="41" fillId="0" borderId="6" xfId="2" applyNumberFormat="1" applyFont="1" applyFill="1" applyBorder="1" applyAlignment="1">
      <alignment horizontal="center" vertical="center"/>
    </xf>
    <xf numFmtId="165" fontId="41" fillId="0" borderId="64" xfId="2" applyNumberFormat="1" applyFont="1" applyFill="1" applyBorder="1" applyAlignment="1">
      <alignment horizontal="center" vertical="center"/>
    </xf>
    <xf numFmtId="165" fontId="41" fillId="0" borderId="5" xfId="2" applyNumberFormat="1" applyFont="1" applyFill="1" applyBorder="1" applyAlignment="1">
      <alignment horizontal="center" vertical="center"/>
    </xf>
    <xf numFmtId="165" fontId="42" fillId="25" borderId="6" xfId="2" applyNumberFormat="1" applyFont="1" applyFill="1" applyBorder="1" applyAlignment="1">
      <alignment horizontal="center" vertical="center"/>
    </xf>
    <xf numFmtId="165" fontId="42" fillId="25" borderId="64" xfId="2" applyNumberFormat="1" applyFont="1" applyFill="1" applyBorder="1" applyAlignment="1">
      <alignment horizontal="center" vertical="center"/>
    </xf>
    <xf numFmtId="165" fontId="42" fillId="26" borderId="64" xfId="2" applyNumberFormat="1" applyFont="1" applyFill="1" applyBorder="1" applyAlignment="1">
      <alignment horizontal="center" vertical="center"/>
    </xf>
    <xf numFmtId="165" fontId="42" fillId="27" borderId="64" xfId="2" applyNumberFormat="1" applyFont="1" applyFill="1" applyBorder="1" applyAlignment="1">
      <alignment horizontal="center" vertical="center"/>
    </xf>
    <xf numFmtId="165" fontId="42" fillId="27" borderId="5" xfId="2" applyNumberFormat="1" applyFont="1" applyFill="1" applyBorder="1" applyAlignment="1">
      <alignment horizontal="center" vertical="center"/>
    </xf>
    <xf numFmtId="165" fontId="41" fillId="0" borderId="45" xfId="2" applyNumberFormat="1" applyFont="1" applyFill="1" applyBorder="1" applyAlignment="1">
      <alignment horizontal="center" vertical="center"/>
    </xf>
    <xf numFmtId="165" fontId="41" fillId="0" borderId="11" xfId="2" applyNumberFormat="1" applyFont="1" applyFill="1" applyBorder="1" applyAlignment="1">
      <alignment horizontal="center" vertical="center"/>
    </xf>
    <xf numFmtId="165" fontId="41" fillId="0" borderId="14" xfId="2" applyNumberFormat="1" applyFont="1" applyFill="1" applyBorder="1" applyAlignment="1">
      <alignment horizontal="center" vertical="center"/>
    </xf>
    <xf numFmtId="165" fontId="42" fillId="29" borderId="6" xfId="2" applyNumberFormat="1" applyFont="1" applyFill="1" applyBorder="1" applyAlignment="1">
      <alignment horizontal="center" vertical="center"/>
    </xf>
    <xf numFmtId="165" fontId="42" fillId="29" borderId="64" xfId="2" applyNumberFormat="1" applyFont="1" applyFill="1" applyBorder="1" applyAlignment="1">
      <alignment horizontal="center" vertical="center"/>
    </xf>
    <xf numFmtId="165" fontId="42" fillId="29" borderId="5" xfId="2" applyNumberFormat="1" applyFont="1" applyFill="1" applyBorder="1" applyAlignment="1">
      <alignment horizontal="center" vertical="center"/>
    </xf>
    <xf numFmtId="0" fontId="26" fillId="0" borderId="13" xfId="0" applyFont="1" applyBorder="1" applyAlignment="1">
      <alignment horizontal="center" vertical="top" textRotation="90"/>
    </xf>
    <xf numFmtId="0" fontId="26" fillId="0" borderId="5" xfId="0" applyFont="1" applyBorder="1" applyAlignment="1">
      <alignment horizontal="center" vertical="top" textRotation="90"/>
    </xf>
    <xf numFmtId="0" fontId="7" fillId="0" borderId="0" xfId="0" applyFont="1" applyAlignment="1">
      <alignment vertical="center" wrapText="1"/>
    </xf>
    <xf numFmtId="0" fontId="8" fillId="0" borderId="0" xfId="1" applyAlignment="1">
      <alignment vertical="center" wrapText="1"/>
    </xf>
  </cellXfs>
  <cellStyles count="4">
    <cellStyle name="Comma" xfId="2" builtinId="3"/>
    <cellStyle name="Hyperlink" xfId="1" builtinId="8"/>
    <cellStyle name="Normal" xfId="0" builtinId="0"/>
    <cellStyle name="Percent" xfId="3" builtinId="5"/>
  </cellStyles>
  <dxfs count="192">
    <dxf>
      <border diagonalUp="0" diagonalDown="0" outline="0">
        <left/>
        <right style="medium">
          <color indexed="64"/>
        </right>
        <top/>
        <bottom style="medium">
          <color indexed="64"/>
        </bottom>
      </border>
    </dxf>
    <dxf>
      <fill>
        <patternFill patternType="solid">
          <fgColor indexed="64"/>
          <bgColor theme="0"/>
        </patternFill>
      </fill>
    </dxf>
    <dxf>
      <border diagonalUp="0" diagonalDown="0" outline="0">
        <left/>
        <right style="medium">
          <color indexed="64"/>
        </right>
        <top/>
        <bottom style="medium">
          <color indexed="64"/>
        </bottom>
      </border>
    </dxf>
    <dxf>
      <fill>
        <patternFill patternType="solid">
          <fgColor indexed="64"/>
          <bgColor theme="0"/>
        </patternFill>
      </fill>
      <border diagonalUp="0" diagonalDown="0">
        <left/>
        <right style="medium">
          <color indexed="64"/>
        </right>
        <top/>
        <bottom/>
        <vertical/>
        <horizontal/>
      </border>
    </dxf>
    <dxf>
      <border diagonalUp="0" diagonalDown="0" outline="0">
        <left/>
        <right/>
        <top/>
        <bottom style="medium">
          <color indexed="64"/>
        </bottom>
      </border>
    </dxf>
    <dxf>
      <fill>
        <patternFill patternType="solid">
          <fgColor indexed="64"/>
          <bgColor theme="0"/>
        </patternFill>
      </fill>
    </dxf>
    <dxf>
      <border diagonalUp="0" diagonalDown="0" outline="0">
        <left/>
        <right/>
        <top/>
        <bottom style="medium">
          <color indexed="64"/>
        </bottom>
      </border>
    </dxf>
    <dxf>
      <fill>
        <patternFill patternType="solid">
          <fgColor indexed="64"/>
          <bgColor theme="0"/>
        </patternFill>
      </fill>
    </dxf>
    <dxf>
      <border diagonalUp="0" diagonalDown="0" outline="0">
        <left style="medium">
          <color indexed="64"/>
        </left>
        <right/>
        <top/>
        <bottom style="medium">
          <color indexed="64"/>
        </bottom>
      </border>
    </dxf>
    <dxf>
      <fill>
        <patternFill patternType="solid">
          <fgColor indexed="64"/>
          <bgColor theme="0"/>
        </patternFill>
      </fill>
      <border diagonalUp="0" diagonalDown="0">
        <left style="medium">
          <color indexed="64"/>
        </left>
        <right/>
        <top/>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rgb="FF61CBF3"/>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indexed="64"/>
        </left>
        <right style="thin">
          <color indexed="64"/>
        </right>
        <top style="thin">
          <color indexed="64"/>
        </top>
        <bottom style="thin">
          <color rgb="FF61CBF3"/>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border diagonalUp="0" diagonalDown="0">
        <left style="thin">
          <color rgb="FF61CBF3"/>
        </left>
        <right style="thin">
          <color indexed="64"/>
        </right>
        <top style="thin">
          <color indexed="64"/>
        </top>
        <bottom style="thin">
          <color rgb="FF61CBF3"/>
        </bottom>
        <vertical/>
        <horizontal/>
      </border>
    </dxf>
    <dxf>
      <border outline="0">
        <top style="thin">
          <color indexed="64"/>
        </top>
        <bottom style="thin">
          <color rgb="FF61CBF3"/>
        </bottom>
      </border>
    </dxf>
    <dxf>
      <font>
        <b val="0"/>
        <i val="0"/>
        <strike val="0"/>
        <condense val="0"/>
        <extend val="0"/>
        <outline val="0"/>
        <shadow val="0"/>
        <u val="none"/>
        <vertAlign val="baseline"/>
        <sz val="11"/>
        <color rgb="FF000000"/>
        <name val="Aptos Narrow"/>
        <family val="2"/>
        <scheme val="none"/>
      </font>
      <fill>
        <patternFill patternType="solid">
          <fgColor rgb="FFCAEDFB"/>
          <bgColor rgb="FFCAEDFB"/>
        </patternFill>
      </fill>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F9ED5"/>
          <bgColor rgb="FF0F9ED5"/>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right/>
        <top style="thin">
          <color indexed="64"/>
        </top>
        <bottom style="thin">
          <color indexed="64"/>
        </bottom>
        <vertical/>
        <horizontal/>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outline="0">
        <left style="medium">
          <color indexed="64"/>
        </left>
        <right style="thin">
          <color indexed="64"/>
        </right>
        <top style="thin">
          <color indexed="64"/>
        </top>
        <bottom style="thin">
          <color indexed="64"/>
        </bottom>
      </border>
    </dxf>
    <dxf>
      <border outline="0">
        <top style="thin">
          <color indexed="64"/>
        </top>
      </border>
    </dxf>
    <dxf>
      <border outline="0">
        <left style="medium">
          <color indexed="64"/>
        </left>
        <right style="medium">
          <color indexed="64"/>
        </right>
        <bottom style="medium">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style="medium">
          <color indexed="64"/>
        </right>
        <top style="thin">
          <color indexed="64"/>
        </top>
        <bottom/>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medium">
          <color indexed="64"/>
        </bottom>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medium">
          <color indexed="64"/>
        </bottom>
      </border>
    </dxf>
    <dxf>
      <font>
        <strike val="0"/>
        <outline val="0"/>
        <shadow val="0"/>
        <u val="none"/>
        <vertAlign val="baseline"/>
        <sz val="11"/>
        <color auto="1"/>
        <name val="Aptos Narrow"/>
        <family val="2"/>
        <scheme val="minor"/>
      </font>
      <fill>
        <patternFill>
          <bgColor theme="0"/>
        </patternFill>
      </fill>
      <border diagonalUp="0" diagonalDown="0">
        <left style="thin">
          <color indexed="64"/>
        </left>
        <right style="medium">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medium">
          <color indexed="64"/>
        </bottom>
      </border>
    </dxf>
    <dxf>
      <font>
        <strike val="0"/>
        <outline val="0"/>
        <shadow val="0"/>
        <u val="none"/>
        <vertAlign val="baseline"/>
        <sz val="11"/>
        <color auto="1"/>
        <name val="Aptos Narrow"/>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medium">
          <color indexed="64"/>
        </bottom>
      </border>
    </dxf>
    <dxf>
      <font>
        <strike val="0"/>
        <outline val="0"/>
        <shadow val="0"/>
        <u val="none"/>
        <vertAlign val="baseline"/>
        <sz val="11"/>
        <color auto="1"/>
        <name val="Aptos Narrow"/>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outline="0">
        <left style="medium">
          <color indexed="64"/>
        </left>
        <right style="thin">
          <color indexed="64"/>
        </right>
        <top style="thin">
          <color indexed="64"/>
        </top>
        <bottom style="medium">
          <color indexed="64"/>
        </bottom>
      </border>
    </dxf>
    <dxf>
      <font>
        <strike val="0"/>
        <outline val="0"/>
        <shadow val="0"/>
        <u val="none"/>
        <vertAlign val="baseline"/>
        <sz val="11"/>
        <color auto="1"/>
        <name val="Aptos Narrow"/>
        <family val="2"/>
        <scheme val="minor"/>
      </font>
      <fill>
        <patternFill>
          <bgColor theme="0"/>
        </patternFill>
      </fill>
      <border diagonalUp="0" diagonalDown="0">
        <left style="medium">
          <color indexed="64"/>
        </left>
        <right style="thin">
          <color indexed="64"/>
        </right>
        <top style="thin">
          <color indexed="64"/>
        </top>
        <bottom style="thin">
          <color indexed="64"/>
        </bottom>
        <vertical style="thin">
          <color indexed="64"/>
        </vertic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border diagonalUp="0" diagonalDown="0">
        <left style="thin">
          <color indexed="64"/>
        </left>
        <right style="thin">
          <color indexed="64"/>
        </right>
        <top/>
        <bottom/>
        <vertical style="thin">
          <color indexed="64"/>
        </vertical>
        <horizontal style="thin">
          <color indexed="64"/>
        </horizontal>
      </border>
    </dxf>
    <dxf>
      <border diagonalUp="0" diagonalDown="0" outline="0">
        <left style="thin">
          <color indexed="64"/>
        </left>
        <right style="medium">
          <color indexed="64"/>
        </right>
        <top style="thin">
          <color indexed="64"/>
        </top>
        <bottom/>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bgColor theme="0"/>
        </patternFill>
      </fill>
      <border diagonalUp="0" diagonalDown="0">
        <left style="thin">
          <color indexed="64"/>
        </left>
        <right style="medium">
          <color indexed="64"/>
        </right>
        <top style="thin">
          <color indexed="64"/>
        </top>
        <bottom/>
        <vertical style="thin">
          <color indexed="64"/>
        </vertical>
      </border>
    </dxf>
    <dxf>
      <font>
        <strike val="0"/>
        <outline val="0"/>
        <shadow val="0"/>
        <u val="none"/>
        <vertAlign val="baseline"/>
        <sz val="11"/>
        <color auto="1"/>
        <name val="Aptos Narrow"/>
        <family val="2"/>
        <scheme val="minor"/>
      </font>
      <fill>
        <patternFill>
          <bgColor theme="0"/>
        </patternFill>
      </fill>
      <border diagonalUp="0" diagonalDown="0">
        <left style="thin">
          <color indexed="64"/>
        </left>
        <right style="medium">
          <color indexed="64"/>
        </right>
        <top style="thin">
          <color indexed="64"/>
        </top>
        <bottom style="thin">
          <color indexed="64"/>
        </bottom>
        <vertical style="thin">
          <color indexed="64"/>
        </vertical>
      </border>
    </dxf>
    <dxf>
      <font>
        <strike val="0"/>
        <outline val="0"/>
        <shadow val="0"/>
        <u val="none"/>
        <vertAlign val="baseline"/>
        <sz val="11"/>
        <color auto="1"/>
        <name val="Aptos Narrow"/>
        <family val="2"/>
        <scheme val="minor"/>
      </font>
      <fill>
        <patternFill>
          <bgColor theme="0"/>
        </patternFill>
      </fill>
      <border diagonalUp="0" diagonalDown="0">
        <left style="thin">
          <color indexed="64"/>
        </left>
        <right style="thin">
          <color indexed="64"/>
        </right>
        <top style="thin">
          <color indexed="64"/>
        </top>
        <bottom/>
        <vertical style="thin">
          <color indexed="64"/>
        </vertical>
      </border>
    </dxf>
    <dxf>
      <font>
        <strike val="0"/>
        <outline val="0"/>
        <shadow val="0"/>
        <u val="none"/>
        <vertAlign val="baseline"/>
        <sz val="11"/>
        <color auto="1"/>
        <name val="Aptos Narrow"/>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border>
    </dxf>
    <dxf>
      <font>
        <strike val="0"/>
        <outline val="0"/>
        <shadow val="0"/>
        <u val="none"/>
        <vertAlign val="baseline"/>
        <sz val="11"/>
        <color auto="1"/>
        <name val="Aptos Narrow"/>
        <family val="2"/>
        <scheme val="minor"/>
      </font>
      <fill>
        <patternFill>
          <bgColor theme="0"/>
        </patternFill>
      </fill>
      <border diagonalUp="0" diagonalDown="0">
        <left style="thin">
          <color indexed="64"/>
        </left>
        <right style="thin">
          <color indexed="64"/>
        </right>
        <top style="thin">
          <color indexed="64"/>
        </top>
        <bottom/>
        <vertical style="thin">
          <color indexed="64"/>
        </vertical>
      </border>
    </dxf>
    <dxf>
      <font>
        <strike val="0"/>
        <outline val="0"/>
        <shadow val="0"/>
        <u val="none"/>
        <vertAlign val="baseline"/>
        <sz val="11"/>
        <color auto="1"/>
        <name val="Aptos Narrow"/>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border>
    </dxf>
    <dxf>
      <font>
        <strike val="0"/>
        <outline val="0"/>
        <shadow val="0"/>
        <u val="none"/>
        <vertAlign val="baseline"/>
        <sz val="11"/>
        <color auto="1"/>
        <name val="Aptos Narrow"/>
        <family val="2"/>
        <scheme val="minor"/>
      </font>
      <fill>
        <patternFill>
          <bgColor theme="0"/>
        </patternFill>
      </fill>
      <border diagonalUp="0" diagonalDown="0">
        <left style="medium">
          <color indexed="64"/>
        </left>
        <right style="thin">
          <color indexed="64"/>
        </right>
        <top style="thin">
          <color indexed="64"/>
        </top>
        <bottom/>
        <vertical style="thin">
          <color indexed="64"/>
        </vertical>
      </border>
    </dxf>
    <dxf>
      <font>
        <strike val="0"/>
        <outline val="0"/>
        <shadow val="0"/>
        <u val="none"/>
        <vertAlign val="baseline"/>
        <sz val="11"/>
        <color auto="1"/>
        <name val="Aptos Narrow"/>
        <family val="2"/>
        <scheme val="minor"/>
      </font>
      <fill>
        <patternFill>
          <bgColor theme="0"/>
        </patternFill>
      </fill>
      <border diagonalUp="0" diagonalDown="0">
        <left style="medium">
          <color indexed="64"/>
        </left>
        <right style="thin">
          <color indexed="64"/>
        </right>
        <top style="thin">
          <color indexed="64"/>
        </top>
        <bottom style="thin">
          <color indexed="64"/>
        </bottom>
        <vertical style="thin">
          <color indexed="64"/>
        </vertic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9"/>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Aptos Narrow"/>
        <family val="2"/>
        <scheme val="minor"/>
      </font>
      <numFmt numFmtId="165" formatCode="_(* #,##0_);_(* \(#,##0\);_(* &quot;-&quot;??_);_(@_)"/>
      <fill>
        <patternFill patternType="solid">
          <fgColor indexed="64"/>
          <bgColor theme="0"/>
        </patternFill>
      </fill>
      <alignment horizontal="left"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dxf>
    <dxf>
      <border diagonalUp="0" diagonalDown="0" outline="0">
        <left style="thin">
          <color indexed="64"/>
        </left>
        <right style="thin">
          <color indexed="64"/>
        </right>
        <top style="medium">
          <color indexed="64"/>
        </top>
        <bottom/>
      </border>
    </dxf>
    <dxf>
      <numFmt numFmtId="0" formatCode="General"/>
    </dxf>
    <dxf>
      <border diagonalUp="0" diagonalDown="0" outline="0">
        <left style="thin">
          <color indexed="64"/>
        </left>
        <right style="thin">
          <color indexed="64"/>
        </right>
        <top style="medium">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medium">
          <color indexed="64"/>
        </right>
        <top style="medium">
          <color indexed="64"/>
        </top>
        <bottom style="thin">
          <color indexed="64"/>
        </bottom>
      </border>
    </dxf>
    <dxf>
      <numFmt numFmtId="0" formatCode="General"/>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medium">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outline="0">
        <left style="medium">
          <color indexed="64"/>
        </left>
        <right style="thin">
          <color indexed="64"/>
        </right>
        <top style="medium">
          <color indexed="64"/>
        </top>
        <bottom style="thin">
          <color indexed="64"/>
        </bottom>
      </border>
    </dxf>
    <dxf>
      <alignment horizontal="general" vertical="top"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border>
        <top style="medium">
          <color indexed="64"/>
        </top>
      </border>
    </dxf>
    <dxf>
      <border diagonalUp="0" diagonalDown="0">
        <left style="thin">
          <color indexed="64"/>
        </left>
        <right style="thin">
          <color indexed="64"/>
        </right>
        <top/>
        <bottom/>
        <vertical style="thin">
          <color indexed="64"/>
        </vertical>
        <horizontal style="thin">
          <color indexed="64"/>
        </horizontal>
      </border>
    </dxf>
    <dxf>
      <border outline="0">
        <top style="medium">
          <color theme="1"/>
        </top>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border diagonalUp="0" diagonalDown="0" outline="0">
        <left style="thin">
          <color theme="1"/>
        </left>
        <right style="thin">
          <color theme="1"/>
        </right>
        <top/>
        <bottom/>
      </border>
    </dxf>
    <dxf>
      <numFmt numFmtId="1" formatCode="0"/>
      <alignment horizontal="right"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numFmt numFmtId="1"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rgb="FF0070C0"/>
        </patternFill>
      </fill>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'Resources and Effort'!$B$12</c:f>
              <c:strCache>
                <c:ptCount val="1"/>
                <c:pt idx="0">
                  <c:v>Man Hours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'Resources and Effort'!$A$13:$A$19</c:f>
              <c:strCache>
                <c:ptCount val="7"/>
                <c:pt idx="0">
                  <c:v>DI</c:v>
                </c:pt>
                <c:pt idx="1">
                  <c:v>Survey</c:v>
                </c:pt>
                <c:pt idx="2">
                  <c:v>CWT</c:v>
                </c:pt>
                <c:pt idx="3">
                  <c:v>CAF</c:v>
                </c:pt>
                <c:pt idx="4">
                  <c:v>R&amp;I</c:v>
                </c:pt>
                <c:pt idx="5">
                  <c:v>BBS</c:v>
                </c:pt>
                <c:pt idx="6">
                  <c:v>Cadence</c:v>
                </c:pt>
              </c:strCache>
            </c:strRef>
          </c:cat>
          <c:val>
            <c:numRef>
              <c:f>'Resources and Effort'!$B$13:$B$19</c:f>
              <c:numCache>
                <c:formatCode>0</c:formatCode>
                <c:ptCount val="7"/>
                <c:pt idx="0">
                  <c:v>5520</c:v>
                </c:pt>
                <c:pt idx="1">
                  <c:v>5936</c:v>
                </c:pt>
                <c:pt idx="2">
                  <c:v>4976</c:v>
                </c:pt>
                <c:pt idx="3">
                  <c:v>12400</c:v>
                </c:pt>
                <c:pt idx="4">
                  <c:v>921</c:v>
                </c:pt>
                <c:pt idx="5">
                  <c:v>1647</c:v>
                </c:pt>
                <c:pt idx="6">
                  <c:v>2728</c:v>
                </c:pt>
              </c:numCache>
            </c:numRef>
          </c:val>
          <c:extLst>
            <c:ext xmlns:c16="http://schemas.microsoft.com/office/drawing/2014/chart" uri="{C3380CC4-5D6E-409C-BE32-E72D297353CC}">
              <c16:uniqueId val="{00000000-5EA0-443A-A8CB-7A5EC2A20E5A}"/>
            </c:ext>
          </c:extLst>
        </c:ser>
        <c:ser>
          <c:idx val="1"/>
          <c:order val="1"/>
          <c:tx>
            <c:strRef>
              <c:f>'Resources and Effort'!$C$12</c:f>
              <c:strCache>
                <c:ptCount val="1"/>
                <c:pt idx="0">
                  <c:v>Man Days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'Resources and Effort'!$A$13:$A$19</c:f>
              <c:strCache>
                <c:ptCount val="7"/>
                <c:pt idx="0">
                  <c:v>DI</c:v>
                </c:pt>
                <c:pt idx="1">
                  <c:v>Survey</c:v>
                </c:pt>
                <c:pt idx="2">
                  <c:v>CWT</c:v>
                </c:pt>
                <c:pt idx="3">
                  <c:v>CAF</c:v>
                </c:pt>
                <c:pt idx="4">
                  <c:v>R&amp;I</c:v>
                </c:pt>
                <c:pt idx="5">
                  <c:v>BBS</c:v>
                </c:pt>
                <c:pt idx="6">
                  <c:v>Cadence</c:v>
                </c:pt>
              </c:strCache>
            </c:strRef>
          </c:cat>
          <c:val>
            <c:numRef>
              <c:f>'Resources and Effort'!$C$13:$C$19</c:f>
              <c:numCache>
                <c:formatCode>0</c:formatCode>
                <c:ptCount val="7"/>
                <c:pt idx="0">
                  <c:v>690</c:v>
                </c:pt>
                <c:pt idx="1">
                  <c:v>742</c:v>
                </c:pt>
                <c:pt idx="2">
                  <c:v>622</c:v>
                </c:pt>
                <c:pt idx="3">
                  <c:v>1550</c:v>
                </c:pt>
                <c:pt idx="4">
                  <c:v>115.125</c:v>
                </c:pt>
                <c:pt idx="5">
                  <c:v>205.875</c:v>
                </c:pt>
                <c:pt idx="6">
                  <c:v>341</c:v>
                </c:pt>
              </c:numCache>
            </c:numRef>
          </c:val>
          <c:extLst>
            <c:ext xmlns:c16="http://schemas.microsoft.com/office/drawing/2014/chart" uri="{C3380CC4-5D6E-409C-BE32-E72D297353CC}">
              <c16:uniqueId val="{00000001-5EA0-443A-A8CB-7A5EC2A20E5A}"/>
            </c:ext>
          </c:extLst>
        </c:ser>
        <c:ser>
          <c:idx val="2"/>
          <c:order val="2"/>
          <c:tx>
            <c:strRef>
              <c:f>'Resources and Effort'!$D$12</c:f>
              <c:strCache>
                <c:ptCount val="1"/>
                <c:pt idx="0">
                  <c:v>Man Months</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'Resources and Effort'!$A$13:$A$19</c:f>
              <c:strCache>
                <c:ptCount val="7"/>
                <c:pt idx="0">
                  <c:v>DI</c:v>
                </c:pt>
                <c:pt idx="1">
                  <c:v>Survey</c:v>
                </c:pt>
                <c:pt idx="2">
                  <c:v>CWT</c:v>
                </c:pt>
                <c:pt idx="3">
                  <c:v>CAF</c:v>
                </c:pt>
                <c:pt idx="4">
                  <c:v>R&amp;I</c:v>
                </c:pt>
                <c:pt idx="5">
                  <c:v>BBS</c:v>
                </c:pt>
                <c:pt idx="6">
                  <c:v>Cadence</c:v>
                </c:pt>
              </c:strCache>
            </c:strRef>
          </c:cat>
          <c:val>
            <c:numRef>
              <c:f>'Resources and Effort'!$D$13:$D$19</c:f>
              <c:numCache>
                <c:formatCode>0</c:formatCode>
                <c:ptCount val="7"/>
                <c:pt idx="0">
                  <c:v>34.5</c:v>
                </c:pt>
                <c:pt idx="1">
                  <c:v>37.1</c:v>
                </c:pt>
                <c:pt idx="2">
                  <c:v>31</c:v>
                </c:pt>
                <c:pt idx="3">
                  <c:v>78</c:v>
                </c:pt>
                <c:pt idx="4">
                  <c:v>5.7562499999999996</c:v>
                </c:pt>
                <c:pt idx="5">
                  <c:v>10.293750000000001</c:v>
                </c:pt>
                <c:pt idx="6">
                  <c:v>17.05</c:v>
                </c:pt>
              </c:numCache>
            </c:numRef>
          </c:val>
          <c:extLst>
            <c:ext xmlns:c16="http://schemas.microsoft.com/office/drawing/2014/chart" uri="{C3380CC4-5D6E-409C-BE32-E72D297353CC}">
              <c16:uniqueId val="{00000002-5EA0-443A-A8CB-7A5EC2A20E5A}"/>
            </c:ext>
          </c:extLst>
        </c:ser>
        <c:dLbls>
          <c:showLegendKey val="0"/>
          <c:showVal val="1"/>
          <c:showCatName val="0"/>
          <c:showSerName val="0"/>
          <c:showPercent val="0"/>
          <c:showBubbleSize val="0"/>
        </c:dLbls>
        <c:gapWidth val="65"/>
        <c:shape val="box"/>
        <c:axId val="1497653343"/>
        <c:axId val="1497653823"/>
        <c:axId val="0"/>
      </c:bar3DChart>
      <c:catAx>
        <c:axId val="14976533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7653823"/>
        <c:crosses val="autoZero"/>
        <c:auto val="1"/>
        <c:lblAlgn val="ctr"/>
        <c:lblOffset val="100"/>
        <c:noMultiLvlLbl val="0"/>
      </c:catAx>
      <c:valAx>
        <c:axId val="1497653823"/>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765334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'Resources and Effort'!$B$12</c:f>
              <c:strCache>
                <c:ptCount val="1"/>
                <c:pt idx="0">
                  <c:v>Man Hours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664-474C-9953-A318C17C9E7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664-474C-9953-A318C17C9E7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664-474C-9953-A318C17C9E7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664-474C-9953-A318C17C9E72}"/>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664-474C-9953-A318C17C9E72}"/>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664-474C-9953-A318C17C9E7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664-474C-9953-A318C17C9E7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'Resources and Effort'!$A$13:$A$19</c:f>
              <c:strCache>
                <c:ptCount val="7"/>
                <c:pt idx="0">
                  <c:v>DI</c:v>
                </c:pt>
                <c:pt idx="1">
                  <c:v>Survey</c:v>
                </c:pt>
                <c:pt idx="2">
                  <c:v>CWT</c:v>
                </c:pt>
                <c:pt idx="3">
                  <c:v>CAF</c:v>
                </c:pt>
                <c:pt idx="4">
                  <c:v>R&amp;I</c:v>
                </c:pt>
                <c:pt idx="5">
                  <c:v>BBS</c:v>
                </c:pt>
                <c:pt idx="6">
                  <c:v>Cadence</c:v>
                </c:pt>
              </c:strCache>
            </c:strRef>
          </c:cat>
          <c:val>
            <c:numRef>
              <c:f>'Resources and Effort'!$B$13:$B$19</c:f>
              <c:numCache>
                <c:formatCode>0</c:formatCode>
                <c:ptCount val="7"/>
                <c:pt idx="0">
                  <c:v>5520</c:v>
                </c:pt>
                <c:pt idx="1">
                  <c:v>5936</c:v>
                </c:pt>
                <c:pt idx="2">
                  <c:v>4976</c:v>
                </c:pt>
                <c:pt idx="3">
                  <c:v>12400</c:v>
                </c:pt>
                <c:pt idx="4">
                  <c:v>921</c:v>
                </c:pt>
                <c:pt idx="5">
                  <c:v>1647</c:v>
                </c:pt>
                <c:pt idx="6">
                  <c:v>2728</c:v>
                </c:pt>
              </c:numCache>
            </c:numRef>
          </c:val>
          <c:extLst>
            <c:ext xmlns:c16="http://schemas.microsoft.com/office/drawing/2014/chart" uri="{C3380CC4-5D6E-409C-BE32-E72D297353CC}">
              <c16:uniqueId val="{00000000-E75F-4491-B754-90255DD68135}"/>
            </c:ext>
          </c:extLst>
        </c:ser>
        <c:ser>
          <c:idx val="1"/>
          <c:order val="1"/>
          <c:tx>
            <c:strRef>
              <c:f>'Resources and Effort'!$C$12</c:f>
              <c:strCache>
                <c:ptCount val="1"/>
                <c:pt idx="0">
                  <c:v>Man Days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664-474C-9953-A318C17C9E7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664-474C-9953-A318C17C9E7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0664-474C-9953-A318C17C9E7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0664-474C-9953-A318C17C9E72}"/>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0664-474C-9953-A318C17C9E72}"/>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0664-474C-9953-A318C17C9E7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0664-474C-9953-A318C17C9E7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'Resources and Effort'!$A$13:$A$19</c:f>
              <c:strCache>
                <c:ptCount val="7"/>
                <c:pt idx="0">
                  <c:v>DI</c:v>
                </c:pt>
                <c:pt idx="1">
                  <c:v>Survey</c:v>
                </c:pt>
                <c:pt idx="2">
                  <c:v>CWT</c:v>
                </c:pt>
                <c:pt idx="3">
                  <c:v>CAF</c:v>
                </c:pt>
                <c:pt idx="4">
                  <c:v>R&amp;I</c:v>
                </c:pt>
                <c:pt idx="5">
                  <c:v>BBS</c:v>
                </c:pt>
                <c:pt idx="6">
                  <c:v>Cadence</c:v>
                </c:pt>
              </c:strCache>
            </c:strRef>
          </c:cat>
          <c:val>
            <c:numRef>
              <c:f>'Resources and Effort'!$C$13:$C$19</c:f>
              <c:numCache>
                <c:formatCode>0</c:formatCode>
                <c:ptCount val="7"/>
                <c:pt idx="0">
                  <c:v>690</c:v>
                </c:pt>
                <c:pt idx="1">
                  <c:v>742</c:v>
                </c:pt>
                <c:pt idx="2">
                  <c:v>622</c:v>
                </c:pt>
                <c:pt idx="3">
                  <c:v>1550</c:v>
                </c:pt>
                <c:pt idx="4">
                  <c:v>115.125</c:v>
                </c:pt>
                <c:pt idx="5">
                  <c:v>205.875</c:v>
                </c:pt>
                <c:pt idx="6">
                  <c:v>341</c:v>
                </c:pt>
              </c:numCache>
            </c:numRef>
          </c:val>
          <c:extLst>
            <c:ext xmlns:c16="http://schemas.microsoft.com/office/drawing/2014/chart" uri="{C3380CC4-5D6E-409C-BE32-E72D297353CC}">
              <c16:uniqueId val="{00000001-E75F-4491-B754-90255DD68135}"/>
            </c:ext>
          </c:extLst>
        </c:ser>
        <c:ser>
          <c:idx val="2"/>
          <c:order val="2"/>
          <c:tx>
            <c:strRef>
              <c:f>'Resources and Effort'!$D$12</c:f>
              <c:strCache>
                <c:ptCount val="1"/>
                <c:pt idx="0">
                  <c:v>Man Months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0664-474C-9953-A318C17C9E7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0664-474C-9953-A318C17C9E7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0664-474C-9953-A318C17C9E7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0664-474C-9953-A318C17C9E72}"/>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0664-474C-9953-A318C17C9E72}"/>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0664-474C-9953-A318C17C9E7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0664-474C-9953-A318C17C9E7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'Resources and Effort'!$A$13:$A$19</c:f>
              <c:strCache>
                <c:ptCount val="7"/>
                <c:pt idx="0">
                  <c:v>DI</c:v>
                </c:pt>
                <c:pt idx="1">
                  <c:v>Survey</c:v>
                </c:pt>
                <c:pt idx="2">
                  <c:v>CWT</c:v>
                </c:pt>
                <c:pt idx="3">
                  <c:v>CAF</c:v>
                </c:pt>
                <c:pt idx="4">
                  <c:v>R&amp;I</c:v>
                </c:pt>
                <c:pt idx="5">
                  <c:v>BBS</c:v>
                </c:pt>
                <c:pt idx="6">
                  <c:v>Cadence</c:v>
                </c:pt>
              </c:strCache>
            </c:strRef>
          </c:cat>
          <c:val>
            <c:numRef>
              <c:f>'Resources and Effort'!$D$13:$D$19</c:f>
              <c:numCache>
                <c:formatCode>0</c:formatCode>
                <c:ptCount val="7"/>
                <c:pt idx="0">
                  <c:v>34.5</c:v>
                </c:pt>
                <c:pt idx="1">
                  <c:v>37.1</c:v>
                </c:pt>
                <c:pt idx="2">
                  <c:v>31</c:v>
                </c:pt>
                <c:pt idx="3">
                  <c:v>78</c:v>
                </c:pt>
                <c:pt idx="4">
                  <c:v>5.7562499999999996</c:v>
                </c:pt>
                <c:pt idx="5">
                  <c:v>10.293750000000001</c:v>
                </c:pt>
                <c:pt idx="6">
                  <c:v>17.05</c:v>
                </c:pt>
              </c:numCache>
            </c:numRef>
          </c:val>
          <c:extLst>
            <c:ext xmlns:c16="http://schemas.microsoft.com/office/drawing/2014/chart" uri="{C3380CC4-5D6E-409C-BE32-E72D297353CC}">
              <c16:uniqueId val="{00000002-E75F-4491-B754-90255DD6813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53178455818022752"/>
          <c:y val="0.1100904053659959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Sum of User Stories</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81F-4A8D-8C7B-9C7FC156730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81F-4A8D-8C7B-9C7FC156730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81F-4A8D-8C7B-9C7FC156730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81F-4A8D-8C7B-9C7FC156730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81F-4A8D-8C7B-9C7FC1567303}"/>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81F-4A8D-8C7B-9C7FC1567303}"/>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81F-4A8D-8C7B-9C7FC156730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81F-4A8D-8C7B-9C7FC156730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81F-4A8D-8C7B-9C7FC156730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81F-4A8D-8C7B-9C7FC156730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81F-4A8D-8C7B-9C7FC156730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81F-4A8D-8C7B-9C7FC156730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81F-4A8D-8C7B-9C7FC156730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81F-4A8D-8C7B-9C7FC156730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BBS</c:v>
              </c:pt>
              <c:pt idx="1">
                <c:v>Cadence</c:v>
              </c:pt>
              <c:pt idx="2">
                <c:v>Certificate of Withholding Tax (CWT)</c:v>
              </c:pt>
              <c:pt idx="3">
                <c:v>Credit Application Form (CAF)</c:v>
              </c:pt>
              <c:pt idx="4">
                <c:v>Digitalised Invoice (DI)</c:v>
              </c:pt>
              <c:pt idx="5">
                <c:v>Risk &amp; Insurance</c:v>
              </c:pt>
              <c:pt idx="6">
                <c:v>Survey App (+Mobile)</c:v>
              </c:pt>
            </c:strLit>
          </c:cat>
          <c:val>
            <c:numLit>
              <c:formatCode>General</c:formatCode>
              <c:ptCount val="7"/>
              <c:pt idx="0">
                <c:v>24</c:v>
              </c:pt>
              <c:pt idx="1">
                <c:v>15</c:v>
              </c:pt>
              <c:pt idx="2">
                <c:v>13</c:v>
              </c:pt>
              <c:pt idx="3">
                <c:v>24</c:v>
              </c:pt>
              <c:pt idx="4">
                <c:v>36</c:v>
              </c:pt>
              <c:pt idx="5">
                <c:v>5</c:v>
              </c:pt>
              <c:pt idx="6">
                <c:v>16</c:v>
              </c:pt>
            </c:numLit>
          </c:val>
          <c:extLst>
            <c:ext xmlns:c16="http://schemas.microsoft.com/office/drawing/2014/chart" uri="{C3380CC4-5D6E-409C-BE32-E72D297353CC}">
              <c16:uniqueId val="{00000000-68C9-4E8D-A256-9102FF90AF0A}"/>
            </c:ext>
          </c:extLst>
        </c:ser>
        <c:ser>
          <c:idx val="1"/>
          <c:order val="1"/>
          <c:tx>
            <c:v>Series2</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581F-4A8D-8C7B-9C7FC156730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581F-4A8D-8C7B-9C7FC156730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581F-4A8D-8C7B-9C7FC156730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581F-4A8D-8C7B-9C7FC156730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581F-4A8D-8C7B-9C7FC1567303}"/>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581F-4A8D-8C7B-9C7FC1567303}"/>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581F-4A8D-8C7B-9C7FC156730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581F-4A8D-8C7B-9C7FC156730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581F-4A8D-8C7B-9C7FC156730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581F-4A8D-8C7B-9C7FC156730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581F-4A8D-8C7B-9C7FC156730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581F-4A8D-8C7B-9C7FC156730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581F-4A8D-8C7B-9C7FC156730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B-581F-4A8D-8C7B-9C7FC156730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BBS</c:v>
              </c:pt>
              <c:pt idx="1">
                <c:v>Cadence</c:v>
              </c:pt>
              <c:pt idx="2">
                <c:v>Certificate of Withholding Tax (CWT)</c:v>
              </c:pt>
              <c:pt idx="3">
                <c:v>Credit Application Form (CAF)</c:v>
              </c:pt>
              <c:pt idx="4">
                <c:v>Digitalised Invoice (DI)</c:v>
              </c:pt>
              <c:pt idx="5">
                <c:v>Risk &amp; Insurance</c:v>
              </c:pt>
              <c:pt idx="6">
                <c:v>Survey App (+Mobile)</c:v>
              </c:pt>
            </c:strLit>
          </c:cat>
          <c:val>
            <c:numLit>
              <c:formatCode>General</c:formatCode>
              <c:ptCount val="7"/>
              <c:pt idx="0">
                <c:v>90</c:v>
              </c:pt>
              <c:pt idx="1">
                <c:v>27</c:v>
              </c:pt>
              <c:pt idx="2">
                <c:v>49</c:v>
              </c:pt>
              <c:pt idx="3">
                <c:v>95</c:v>
              </c:pt>
              <c:pt idx="4">
                <c:v>60</c:v>
              </c:pt>
              <c:pt idx="5">
                <c:v>22</c:v>
              </c:pt>
              <c:pt idx="6">
                <c:v>82</c:v>
              </c:pt>
            </c:numLit>
          </c:val>
          <c:extLst>
            <c:ext xmlns:c16="http://schemas.microsoft.com/office/drawing/2014/chart" uri="{C3380CC4-5D6E-409C-BE32-E72D297353CC}">
              <c16:uniqueId val="{00000001-68C9-4E8D-A256-9102FF90AF0A}"/>
            </c:ext>
          </c:extLst>
        </c:ser>
        <c:ser>
          <c:idx val="2"/>
          <c:order val="2"/>
          <c:tx>
            <c:v>Series3</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581F-4A8D-8C7B-9C7FC156730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F-581F-4A8D-8C7B-9C7FC156730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1-581F-4A8D-8C7B-9C7FC156730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3-581F-4A8D-8C7B-9C7FC156730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5-581F-4A8D-8C7B-9C7FC1567303}"/>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7-581F-4A8D-8C7B-9C7FC1567303}"/>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9-581F-4A8D-8C7B-9C7FC156730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D-581F-4A8D-8C7B-9C7FC156730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F-581F-4A8D-8C7B-9C7FC156730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1-581F-4A8D-8C7B-9C7FC156730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3-581F-4A8D-8C7B-9C7FC156730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5-581F-4A8D-8C7B-9C7FC156730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7-581F-4A8D-8C7B-9C7FC156730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9-581F-4A8D-8C7B-9C7FC156730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BBS</c:v>
              </c:pt>
              <c:pt idx="1">
                <c:v>Cadence</c:v>
              </c:pt>
              <c:pt idx="2">
                <c:v>Certificate of Withholding Tax (CWT)</c:v>
              </c:pt>
              <c:pt idx="3">
                <c:v>Credit Application Form (CAF)</c:v>
              </c:pt>
              <c:pt idx="4">
                <c:v>Digitalised Invoice (DI)</c:v>
              </c:pt>
              <c:pt idx="5">
                <c:v>Risk &amp; Insurance</c:v>
              </c:pt>
              <c:pt idx="6">
                <c:v>Survey App (+Mobile)</c:v>
              </c:pt>
            </c:strLit>
          </c:cat>
          <c:val>
            <c:numLit>
              <c:formatCode>General</c:formatCode>
              <c:ptCount val="7"/>
              <c:pt idx="0">
                <c:v>68</c:v>
              </c:pt>
              <c:pt idx="1">
                <c:v>18</c:v>
              </c:pt>
              <c:pt idx="2">
                <c:v>5</c:v>
              </c:pt>
              <c:pt idx="3">
                <c:v>125</c:v>
              </c:pt>
              <c:pt idx="4">
                <c:v>8</c:v>
              </c:pt>
              <c:pt idx="5">
                <c:v>10</c:v>
              </c:pt>
              <c:pt idx="6">
                <c:v>44</c:v>
              </c:pt>
            </c:numLit>
          </c:val>
          <c:extLst>
            <c:ext xmlns:c16="http://schemas.microsoft.com/office/drawing/2014/chart" uri="{C3380CC4-5D6E-409C-BE32-E72D297353CC}">
              <c16:uniqueId val="{00000002-68C9-4E8D-A256-9102FF90AF0A}"/>
            </c:ext>
          </c:extLst>
        </c:ser>
        <c:ser>
          <c:idx val="3"/>
          <c:order val="3"/>
          <c:tx>
            <c:v>Series4</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B-581F-4A8D-8C7B-9C7FC156730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D-581F-4A8D-8C7B-9C7FC156730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F-581F-4A8D-8C7B-9C7FC156730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1-581F-4A8D-8C7B-9C7FC156730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3-581F-4A8D-8C7B-9C7FC1567303}"/>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5-581F-4A8D-8C7B-9C7FC1567303}"/>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7-581F-4A8D-8C7B-9C7FC156730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B-581F-4A8D-8C7B-9C7FC156730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D-581F-4A8D-8C7B-9C7FC156730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F-581F-4A8D-8C7B-9C7FC156730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1-581F-4A8D-8C7B-9C7FC156730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3-581F-4A8D-8C7B-9C7FC156730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5-581F-4A8D-8C7B-9C7FC156730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7-581F-4A8D-8C7B-9C7FC156730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BBS</c:v>
              </c:pt>
              <c:pt idx="1">
                <c:v>Cadence</c:v>
              </c:pt>
              <c:pt idx="2">
                <c:v>Certificate of Withholding Tax (CWT)</c:v>
              </c:pt>
              <c:pt idx="3">
                <c:v>Credit Application Form (CAF)</c:v>
              </c:pt>
              <c:pt idx="4">
                <c:v>Digitalised Invoice (DI)</c:v>
              </c:pt>
              <c:pt idx="5">
                <c:v>Risk &amp; Insurance</c:v>
              </c:pt>
              <c:pt idx="6">
                <c:v>Survey App (+Mobile)</c:v>
              </c:pt>
            </c:strLit>
          </c:cat>
          <c:val>
            <c:numLit>
              <c:formatCode>General</c:formatCode>
              <c:ptCount val="7"/>
              <c:pt idx="0">
                <c:v>37</c:v>
              </c:pt>
              <c:pt idx="1">
                <c:v>23</c:v>
              </c:pt>
              <c:pt idx="2">
                <c:v>22</c:v>
              </c:pt>
              <c:pt idx="3">
                <c:v>120</c:v>
              </c:pt>
              <c:pt idx="4">
                <c:v>82</c:v>
              </c:pt>
              <c:pt idx="5">
                <c:v>13</c:v>
              </c:pt>
              <c:pt idx="6">
                <c:v>35</c:v>
              </c:pt>
            </c:numLit>
          </c:val>
          <c:extLst>
            <c:ext xmlns:c16="http://schemas.microsoft.com/office/drawing/2014/chart" uri="{C3380CC4-5D6E-409C-BE32-E72D297353CC}">
              <c16:uniqueId val="{00000003-68C9-4E8D-A256-9102FF90AF0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'Complexity Summary'!$B$1</c:f>
              <c:strCache>
                <c:ptCount val="1"/>
                <c:pt idx="0">
                  <c:v>User Stories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'Complexity Summary'!$A$2:$A$8</c:f>
              <c:strCache>
                <c:ptCount val="7"/>
                <c:pt idx="0">
                  <c:v>Digitalised Invoice (DI)</c:v>
                </c:pt>
                <c:pt idx="1">
                  <c:v>Survey App (+Mobile)</c:v>
                </c:pt>
                <c:pt idx="2">
                  <c:v>Credit Application Form (CAF)</c:v>
                </c:pt>
                <c:pt idx="3">
                  <c:v>Certificate of Withholding Tax (CWT)</c:v>
                </c:pt>
                <c:pt idx="4">
                  <c:v>BBS</c:v>
                </c:pt>
                <c:pt idx="5">
                  <c:v>Cadence</c:v>
                </c:pt>
                <c:pt idx="6">
                  <c:v>Risk &amp; Insurance</c:v>
                </c:pt>
              </c:strCache>
            </c:strRef>
          </c:cat>
          <c:val>
            <c:numRef>
              <c:f>'Complexity Summary'!$B$2:$B$8</c:f>
              <c:numCache>
                <c:formatCode>General</c:formatCode>
                <c:ptCount val="7"/>
                <c:pt idx="0">
                  <c:v>36</c:v>
                </c:pt>
                <c:pt idx="1">
                  <c:v>16</c:v>
                </c:pt>
                <c:pt idx="2">
                  <c:v>24</c:v>
                </c:pt>
                <c:pt idx="3">
                  <c:v>13</c:v>
                </c:pt>
                <c:pt idx="4">
                  <c:v>24</c:v>
                </c:pt>
                <c:pt idx="5">
                  <c:v>15</c:v>
                </c:pt>
                <c:pt idx="6">
                  <c:v>5</c:v>
                </c:pt>
              </c:numCache>
            </c:numRef>
          </c:val>
          <c:extLst>
            <c:ext xmlns:c16="http://schemas.microsoft.com/office/drawing/2014/chart" uri="{C3380CC4-5D6E-409C-BE32-E72D297353CC}">
              <c16:uniqueId val="{00000000-F9CA-49D2-AC7D-D84F1FDFD459}"/>
            </c:ext>
          </c:extLst>
        </c:ser>
        <c:ser>
          <c:idx val="1"/>
          <c:order val="1"/>
          <c:tx>
            <c:strRef>
              <c:f>'Complexity Summary'!$C$1</c:f>
              <c:strCache>
                <c:ptCount val="1"/>
                <c:pt idx="0">
                  <c:v>Tasks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'Complexity Summary'!$A$2:$A$8</c:f>
              <c:strCache>
                <c:ptCount val="7"/>
                <c:pt idx="0">
                  <c:v>Digitalised Invoice (DI)</c:v>
                </c:pt>
                <c:pt idx="1">
                  <c:v>Survey App (+Mobile)</c:v>
                </c:pt>
                <c:pt idx="2">
                  <c:v>Credit Application Form (CAF)</c:v>
                </c:pt>
                <c:pt idx="3">
                  <c:v>Certificate of Withholding Tax (CWT)</c:v>
                </c:pt>
                <c:pt idx="4">
                  <c:v>BBS</c:v>
                </c:pt>
                <c:pt idx="5">
                  <c:v>Cadence</c:v>
                </c:pt>
                <c:pt idx="6">
                  <c:v>Risk &amp; Insurance</c:v>
                </c:pt>
              </c:strCache>
            </c:strRef>
          </c:cat>
          <c:val>
            <c:numRef>
              <c:f>'Complexity Summary'!$C$2:$C$8</c:f>
              <c:numCache>
                <c:formatCode>General</c:formatCode>
                <c:ptCount val="7"/>
                <c:pt idx="0">
                  <c:v>60</c:v>
                </c:pt>
                <c:pt idx="1">
                  <c:v>82</c:v>
                </c:pt>
                <c:pt idx="2">
                  <c:v>95</c:v>
                </c:pt>
                <c:pt idx="3">
                  <c:v>49</c:v>
                </c:pt>
                <c:pt idx="4">
                  <c:v>90</c:v>
                </c:pt>
                <c:pt idx="5">
                  <c:v>27</c:v>
                </c:pt>
                <c:pt idx="6">
                  <c:v>22</c:v>
                </c:pt>
              </c:numCache>
            </c:numRef>
          </c:val>
          <c:extLst>
            <c:ext xmlns:c16="http://schemas.microsoft.com/office/drawing/2014/chart" uri="{C3380CC4-5D6E-409C-BE32-E72D297353CC}">
              <c16:uniqueId val="{00000001-F9CA-49D2-AC7D-D84F1FDFD459}"/>
            </c:ext>
          </c:extLst>
        </c:ser>
        <c:ser>
          <c:idx val="2"/>
          <c:order val="2"/>
          <c:tx>
            <c:strRef>
              <c:f>'Complexity Summary'!$D$1</c:f>
              <c:strCache>
                <c:ptCount val="1"/>
                <c:pt idx="0">
                  <c:v>Sub Tasks</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'Complexity Summary'!$A$2:$A$8</c:f>
              <c:strCache>
                <c:ptCount val="7"/>
                <c:pt idx="0">
                  <c:v>Digitalised Invoice (DI)</c:v>
                </c:pt>
                <c:pt idx="1">
                  <c:v>Survey App (+Mobile)</c:v>
                </c:pt>
                <c:pt idx="2">
                  <c:v>Credit Application Form (CAF)</c:v>
                </c:pt>
                <c:pt idx="3">
                  <c:v>Certificate of Withholding Tax (CWT)</c:v>
                </c:pt>
                <c:pt idx="4">
                  <c:v>BBS</c:v>
                </c:pt>
                <c:pt idx="5">
                  <c:v>Cadence</c:v>
                </c:pt>
                <c:pt idx="6">
                  <c:v>Risk &amp; Insurance</c:v>
                </c:pt>
              </c:strCache>
            </c:strRef>
          </c:cat>
          <c:val>
            <c:numRef>
              <c:f>'Complexity Summary'!$D$2:$D$8</c:f>
              <c:numCache>
                <c:formatCode>General</c:formatCode>
                <c:ptCount val="7"/>
                <c:pt idx="0">
                  <c:v>8</c:v>
                </c:pt>
                <c:pt idx="1">
                  <c:v>44</c:v>
                </c:pt>
                <c:pt idx="2">
                  <c:v>125</c:v>
                </c:pt>
                <c:pt idx="3">
                  <c:v>5</c:v>
                </c:pt>
                <c:pt idx="4">
                  <c:v>68</c:v>
                </c:pt>
                <c:pt idx="5">
                  <c:v>18</c:v>
                </c:pt>
                <c:pt idx="6">
                  <c:v>10</c:v>
                </c:pt>
              </c:numCache>
            </c:numRef>
          </c:val>
          <c:extLst>
            <c:ext xmlns:c16="http://schemas.microsoft.com/office/drawing/2014/chart" uri="{C3380CC4-5D6E-409C-BE32-E72D297353CC}">
              <c16:uniqueId val="{00000002-F9CA-49D2-AC7D-D84F1FDFD459}"/>
            </c:ext>
          </c:extLst>
        </c:ser>
        <c:ser>
          <c:idx val="3"/>
          <c:order val="3"/>
          <c:tx>
            <c:strRef>
              <c:f>'Complexity Summary'!$E$1</c:f>
              <c:strCache>
                <c:ptCount val="1"/>
                <c:pt idx="0">
                  <c:v>Web Forms</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'Complexity Summary'!$A$2:$A$8</c:f>
              <c:strCache>
                <c:ptCount val="7"/>
                <c:pt idx="0">
                  <c:v>Digitalised Invoice (DI)</c:v>
                </c:pt>
                <c:pt idx="1">
                  <c:v>Survey App (+Mobile)</c:v>
                </c:pt>
                <c:pt idx="2">
                  <c:v>Credit Application Form (CAF)</c:v>
                </c:pt>
                <c:pt idx="3">
                  <c:v>Certificate of Withholding Tax (CWT)</c:v>
                </c:pt>
                <c:pt idx="4">
                  <c:v>BBS</c:v>
                </c:pt>
                <c:pt idx="5">
                  <c:v>Cadence</c:v>
                </c:pt>
                <c:pt idx="6">
                  <c:v>Risk &amp; Insurance</c:v>
                </c:pt>
              </c:strCache>
            </c:strRef>
          </c:cat>
          <c:val>
            <c:numRef>
              <c:f>'Complexity Summary'!$E$2:$E$8</c:f>
              <c:numCache>
                <c:formatCode>General</c:formatCode>
                <c:ptCount val="7"/>
                <c:pt idx="0">
                  <c:v>82</c:v>
                </c:pt>
                <c:pt idx="1">
                  <c:v>35</c:v>
                </c:pt>
                <c:pt idx="2">
                  <c:v>120</c:v>
                </c:pt>
                <c:pt idx="3">
                  <c:v>22</c:v>
                </c:pt>
                <c:pt idx="4">
                  <c:v>37</c:v>
                </c:pt>
                <c:pt idx="5">
                  <c:v>23</c:v>
                </c:pt>
                <c:pt idx="6">
                  <c:v>13</c:v>
                </c:pt>
              </c:numCache>
            </c:numRef>
          </c:val>
          <c:extLst>
            <c:ext xmlns:c16="http://schemas.microsoft.com/office/drawing/2014/chart" uri="{C3380CC4-5D6E-409C-BE32-E72D297353CC}">
              <c16:uniqueId val="{00000003-F9CA-49D2-AC7D-D84F1FDFD459}"/>
            </c:ext>
          </c:extLst>
        </c:ser>
        <c:dLbls>
          <c:showLegendKey val="0"/>
          <c:showVal val="1"/>
          <c:showCatName val="0"/>
          <c:showSerName val="0"/>
          <c:showPercent val="0"/>
          <c:showBubbleSize val="0"/>
        </c:dLbls>
        <c:gapWidth val="65"/>
        <c:shape val="box"/>
        <c:axId val="1951731152"/>
        <c:axId val="1951728272"/>
        <c:axId val="0"/>
      </c:bar3DChart>
      <c:catAx>
        <c:axId val="1951731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1728272"/>
        <c:crosses val="autoZero"/>
        <c:auto val="1"/>
        <c:lblAlgn val="ctr"/>
        <c:lblOffset val="100"/>
        <c:noMultiLvlLbl val="0"/>
      </c:catAx>
      <c:valAx>
        <c:axId val="19517282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517311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60960</xdr:colOff>
      <xdr:row>9</xdr:row>
      <xdr:rowOff>175260</xdr:rowOff>
    </xdr:from>
    <xdr:to>
      <xdr:col>14</xdr:col>
      <xdr:colOff>617220</xdr:colOff>
      <xdr:row>28</xdr:row>
      <xdr:rowOff>68580</xdr:rowOff>
    </xdr:to>
    <xdr:graphicFrame macro="">
      <xdr:nvGraphicFramePr>
        <xdr:cNvPr id="4" name="Chart 3">
          <a:extLst>
            <a:ext uri="{FF2B5EF4-FFF2-40B4-BE49-F238E27FC236}">
              <a16:creationId xmlns:a16="http://schemas.microsoft.com/office/drawing/2014/main" id="{15CEE97D-5592-E1F7-9AE0-198058F55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792480</xdr:colOff>
      <xdr:row>10</xdr:row>
      <xdr:rowOff>26670</xdr:rowOff>
    </xdr:from>
    <xdr:to>
      <xdr:col>22</xdr:col>
      <xdr:colOff>68580</xdr:colOff>
      <xdr:row>24</xdr:row>
      <xdr:rowOff>179070</xdr:rowOff>
    </xdr:to>
    <xdr:graphicFrame macro="">
      <xdr:nvGraphicFramePr>
        <xdr:cNvPr id="6" name="Chart 5">
          <a:extLst>
            <a:ext uri="{FF2B5EF4-FFF2-40B4-BE49-F238E27FC236}">
              <a16:creationId xmlns:a16="http://schemas.microsoft.com/office/drawing/2014/main" id="{13975029-9D07-6A9E-3EAB-25E30D7E4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1173480</xdr:colOff>
      <xdr:row>0</xdr:row>
      <xdr:rowOff>72390</xdr:rowOff>
    </xdr:from>
    <xdr:to>
      <xdr:col>10</xdr:col>
      <xdr:colOff>662940</xdr:colOff>
      <xdr:row>15</xdr:row>
      <xdr:rowOff>11430</xdr:rowOff>
    </xdr:to>
    <xdr:graphicFrame macro="">
      <xdr:nvGraphicFramePr>
        <xdr:cNvPr id="6" name="Chart 5">
          <a:extLst>
            <a:ext uri="{FF2B5EF4-FFF2-40B4-BE49-F238E27FC236}">
              <a16:creationId xmlns:a16="http://schemas.microsoft.com/office/drawing/2014/main" id="{FB418D6A-8ACA-03DD-3AEC-BDDFC4587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xdr:colOff>
      <xdr:row>9</xdr:row>
      <xdr:rowOff>19050</xdr:rowOff>
    </xdr:from>
    <xdr:to>
      <xdr:col>6</xdr:col>
      <xdr:colOff>929640</xdr:colOff>
      <xdr:row>37</xdr:row>
      <xdr:rowOff>76200</xdr:rowOff>
    </xdr:to>
    <xdr:graphicFrame macro="">
      <xdr:nvGraphicFramePr>
        <xdr:cNvPr id="3" name="Chart 2">
          <a:extLst>
            <a:ext uri="{FF2B5EF4-FFF2-40B4-BE49-F238E27FC236}">
              <a16:creationId xmlns:a16="http://schemas.microsoft.com/office/drawing/2014/main" id="{6E826D01-8AA0-4215-B590-7F59E539C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43A30B-3BD1-4BD9-A18D-56C8B3227116}" name="Table1" displayName="Table1" ref="A1:G42" totalsRowShown="0" headerRowDxfId="191" headerRowBorderDxfId="190" tableBorderDxfId="189" totalsRowBorderDxfId="188">
  <autoFilter ref="A1:G42" xr:uid="{9743A30B-3BD1-4BD9-A18D-56C8B3227116}"/>
  <tableColumns count="7">
    <tableColumn id="1" xr3:uid="{6C22C2F5-F515-4507-A760-8B3F6B4A0E44}" name="Theme" dataDxfId="187"/>
    <tableColumn id="2" xr3:uid="{4D632094-41D0-4AEC-B7A3-0A84612805B9}" name="EPIC" dataDxfId="186"/>
    <tableColumn id="3" xr3:uid="{B5AB973D-CD75-4D5B-8888-C548553A4B3B}" name="User Stories" dataDxfId="185"/>
    <tableColumn id="4" xr3:uid="{C892A0D6-065B-4896-B098-A777308D44B9}" name="Task" dataDxfId="184"/>
    <tableColumn id="5" xr3:uid="{00C01E29-8B37-4088-83E8-7B7E3C1CB4C3}" name="Point Value" dataDxfId="183"/>
    <tableColumn id="6" xr3:uid="{1DDA245E-4798-4F98-BC9E-56200D98216F}" name="~ Effort in _x000a_Man Days" dataDxfId="182"/>
    <tableColumn id="7" xr3:uid="{F1836D76-3E27-4238-9D04-253B29BED463}" name="Roles" dataDxfId="181"/>
  </tableColumns>
  <tableStyleInfo name="TableStyleDark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933A6A-74AB-49C7-9E23-9CC3658BD831}" name="Table113" displayName="Table113" ref="A12:D20" totalsRowShown="0" headerRowDxfId="180" headerRowBorderDxfId="179" tableBorderDxfId="178">
  <autoFilter ref="A12:D20" xr:uid="{00933A6A-74AB-49C7-9E23-9CC3658BD831}"/>
  <tableColumns count="4">
    <tableColumn id="1" xr3:uid="{A18E5DE7-17EE-4E49-A0A7-A6D9A80130F8}" name="App Name" dataDxfId="177"/>
    <tableColumn id="2" xr3:uid="{1ED5B69B-5212-4B91-8826-8D8C2B236AD3}" name="Man Hours" dataDxfId="176"/>
    <tableColumn id="3" xr3:uid="{52C81CD9-29B4-4719-97BE-580D9DC021A6}" name="Man Days" dataDxfId="175"/>
    <tableColumn id="4" xr3:uid="{138BE0AC-EBFF-4997-AA16-AC92BED7BAD7}" name="Man Months" dataDxfId="174"/>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5283A25-C195-481C-B777-D8A30D184A85}" name="Table712" displayName="Table712" ref="A1:R7" totalsRowCount="1" headerRowDxfId="173" totalsRowDxfId="171" tableBorderDxfId="172" totalsRowBorderDxfId="170">
  <autoFilter ref="A1:R6" xr:uid="{E5283A25-C195-481C-B777-D8A30D184A85}"/>
  <tableColumns count="18">
    <tableColumn id="1" xr3:uid="{7F9D1C3A-1F49-4953-A9B7-6BFB44D15593}" name="APP" totalsRowLabel="Exact Month" dataDxfId="169" totalsRowDxfId="168"/>
    <tableColumn id="2" xr3:uid="{24DF988C-06CD-428C-8DF8-8EC8488FAF15}" name="PM" totalsRowFunction="custom" dataDxfId="167" totalsRowDxfId="166">
      <totalsRowFormula>B6/20</totalsRowFormula>
    </tableColumn>
    <tableColumn id="3" xr3:uid="{D17C043C-1BE8-41E3-8065-E4934CCB2638}" name="BA" totalsRowFunction="custom" dataDxfId="165" totalsRowDxfId="164">
      <totalsRowFormula>C6/20</totalsRowFormula>
    </tableColumn>
    <tableColumn id="4" xr3:uid="{9A981EF1-1181-432A-9830-80287A15F117}" name="Architect" totalsRowFunction="custom" dataDxfId="163" totalsRowDxfId="162">
      <totalsRowFormula>D6/20</totalsRowFormula>
    </tableColumn>
    <tableColumn id="5" xr3:uid="{2822DAA5-97A9-4424-832F-1879E3ADACBC}" name="Tech Lead" totalsRowFunction="custom" dataDxfId="161" totalsRowDxfId="160">
      <totalsRowFormula>E6/20</totalsRowFormula>
    </tableColumn>
    <tableColumn id="6" xr3:uid="{FB4BEE0D-A5EA-4872-B28A-44E29214187E}" name="Dev1" totalsRowFunction="custom" dataDxfId="159" totalsRowDxfId="158">
      <totalsRowFormula>F6/20</totalsRowFormula>
    </tableColumn>
    <tableColumn id="7" xr3:uid="{6028AFCB-688A-452A-B583-BBEED73468D6}" name="Dev2" totalsRowFunction="custom" dataDxfId="157" totalsRowDxfId="156">
      <totalsRowFormula>G6/20</totalsRowFormula>
    </tableColumn>
    <tableColumn id="8" xr3:uid="{572821B7-5D34-40BC-B0D7-5013BCA85967}" name="Test Lead" totalsRowFunction="custom" dataDxfId="155" totalsRowDxfId="154">
      <totalsRowFormula>H6/20</totalsRowFormula>
    </tableColumn>
    <tableColumn id="9" xr3:uid="{93BB3F75-D586-453F-B89B-A89E11C1B6E8}" name="Test Engineer" totalsRowFunction="custom" dataDxfId="153" totalsRowDxfId="152">
      <totalsRowFormula>I6/20</totalsRowFormula>
    </tableColumn>
    <tableColumn id="10" xr3:uid="{221F95A8-EB5C-461E-855E-395692376BFF}" name="DBA" totalsRowFunction="custom" dataDxfId="151" totalsRowDxfId="150">
      <totalsRowFormula>J6/20</totalsRowFormula>
    </tableColumn>
    <tableColumn id="11" xr3:uid="{FFFC8AE9-5A5F-4FE9-BED6-FA13BBD0F644}" name="DB Developer" totalsRowFunction="custom" dataDxfId="149" totalsRowDxfId="148">
      <totalsRowFormula>K6/20</totalsRowFormula>
    </tableColumn>
    <tableColumn id="12" xr3:uid="{954399AA-9CF3-4337-AA5F-91338BAF1EA4}" name="UX" totalsRowFunction="custom" dataDxfId="147" totalsRowDxfId="146">
      <totalsRowFormula>L6/20</totalsRowFormula>
    </tableColumn>
    <tableColumn id="13" xr3:uid="{0902FACF-42A3-44DE-95FB-582D70C90ED5}" name="UI" totalsRowFunction="custom" dataDxfId="145" totalsRowDxfId="144">
      <totalsRowFormula>M6/20</totalsRowFormula>
    </tableColumn>
    <tableColumn id="14" xr3:uid="{F6372277-0BE6-4D44-B177-A8E0F320B0BA}" name="Cloud Architect" totalsRowFunction="custom" dataDxfId="143" totalsRowDxfId="142">
      <totalsRowFormula>N6/20</totalsRowFormula>
    </tableColumn>
    <tableColumn id="15" xr3:uid="{764330AA-A396-4599-AC12-958E4330F272}" name="DevOps Engineer" totalsRowFunction="custom" dataDxfId="141" totalsRowDxfId="140">
      <totalsRowFormula>O6/20</totalsRowFormula>
    </tableColumn>
    <tableColumn id="16" xr3:uid="{A1927C88-8550-44C7-8EA7-37315CA5BB46}" name="App Effort (In Days" totalsRowFunction="custom" dataDxfId="139" totalsRowDxfId="138">
      <calculatedColumnFormula>SUM(Table712[[#This Row],[PM]:[DevOps Engineer]])</calculatedColumnFormula>
      <totalsRowFormula>P6/20</totalsRowFormula>
    </tableColumn>
    <tableColumn id="17" xr3:uid="{2A3C54E3-5939-4778-8AC3-9D7EBB79CA79}" name="Months" dataDxfId="137" totalsRowDxfId="136">
      <calculatedColumnFormula>Table712[[#This Row],[App Effort (In Days]]/22</calculatedColumnFormula>
    </tableColumn>
    <tableColumn id="19" xr3:uid="{2B9FA26F-82BD-4C7C-82E3-E8F10FCB6150}" name="Hours" dataDxfId="135" totalsRowDxfId="134">
      <calculatedColumnFormula>Table712[[#This Row],[App Effort (In Days]]*8</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6BF30C3-2880-476C-8BE5-6463DDDBF868}" name="Table10" displayName="Table10" ref="A1:X23" totalsRowShown="0" headerRowDxfId="133">
  <autoFilter ref="A1:X23" xr:uid="{26BF30C3-2880-476C-8BE5-6463DDDBF868}"/>
  <tableColumns count="24">
    <tableColumn id="1" xr3:uid="{F11E508F-F747-4947-B599-F9F466963149}" name="Head _x000a_Count" dataDxfId="132"/>
    <tableColumn id="2" xr3:uid="{5ACA25C9-FB91-453B-A064-13F67FFC54A4}" name="Role" dataDxfId="131"/>
    <tableColumn id="3" xr3:uid="{774CA740-BE4D-4ED3-9FCA-DE28CFED57DB}" name="Monthly_x000a_Loading" dataDxfId="130" dataCellStyle="Comma"/>
    <tableColumn id="4" xr3:uid="{AEFEEF97-6428-4757-8FFB-7997568E55E1}" name="Hourly_x000a_Loading" dataDxfId="129" dataCellStyle="Comma"/>
    <tableColumn id="5" xr3:uid="{58F5A597-2C6F-49A2-9D58-18035C3957BD}" name="FNT 1"/>
    <tableColumn id="6" xr3:uid="{A7E03A0C-8177-4CDF-96A6-0A07C776E4F8}" name="FNT 2"/>
    <tableColumn id="7" xr3:uid="{DB51597B-F48E-4BFE-9282-68E148CD81C0}" name="FNT 3"/>
    <tableColumn id="8" xr3:uid="{E71FFF6A-0F00-4EEB-9BE5-CBF4C5D01152}" name="FNT 4"/>
    <tableColumn id="9" xr3:uid="{92A0E0F0-C183-4FBD-BF22-48B5E15D9539}" name="FNT 5"/>
    <tableColumn id="10" xr3:uid="{0B7A4EA4-45B1-4CC8-B929-231C84B3FBF5}" name="FNT 6"/>
    <tableColumn id="11" xr3:uid="{658755A2-43C2-40A7-933E-0DE314107448}" name="FNT 7"/>
    <tableColumn id="12" xr3:uid="{FC9B3310-E157-4952-9F6E-707822ED5873}" name="FNT 8"/>
    <tableColumn id="13" xr3:uid="{B06EC9BE-62A4-4DEA-B052-C8F2EBB1DDE0}" name="FNT 9"/>
    <tableColumn id="14" xr3:uid="{D7CAB300-4E98-4A87-BDA2-3BA5D5A142F1}" name="FNT 10"/>
    <tableColumn id="15" xr3:uid="{EAC21D11-10BB-460F-8686-ADD0AADDE656}" name="FNT 11"/>
    <tableColumn id="16" xr3:uid="{91226AA9-3D7F-4C0D-B234-5D82B26976F6}" name="FNT 12"/>
    <tableColumn id="17" xr3:uid="{AA9467BC-B8D2-4860-A52A-721F9E83B1F0}" name="FNT 13"/>
    <tableColumn id="18" xr3:uid="{94A16B2B-35AF-4B01-9AA9-D5F349D70637}" name="FNT 14"/>
    <tableColumn id="19" xr3:uid="{ABE07A81-6743-4208-8D71-937A5AD34902}" name="FNT 15"/>
    <tableColumn id="20" xr3:uid="{6BA26575-5B46-4159-9F94-BC5BF1CEE807}" name="FNT 16"/>
    <tableColumn id="21" xr3:uid="{27C24EEC-4AE6-4864-BD68-D9D6832CD1F0}" name="FNT 17"/>
    <tableColumn id="22" xr3:uid="{FEB56C84-2114-4A48-9EEC-10D5FE0DDEB4}" name="FNT 18"/>
    <tableColumn id="23" xr3:uid="{8E242F5F-4E1A-4AB7-942F-481138DD1709}" name="FNT 19"/>
    <tableColumn id="24" xr3:uid="{C69ECA74-D434-493F-A8C9-F16525E5B384}" name="FNT 20"/>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7AA59F-B196-4FB3-AE47-D0289780EE69}" name="Table95" displayName="Table95" ref="A1:P251" totalsRowCount="1" headerRowDxfId="128" headerRowBorderDxfId="127" tableBorderDxfId="126" totalsRowBorderDxfId="125">
  <autoFilter ref="A1:P250" xr:uid="{427AA59F-B196-4FB3-AE47-D0289780EE69}"/>
  <tableColumns count="16">
    <tableColumn id="1" xr3:uid="{66619824-196D-45D1-9B9D-8715E808CAC1}" name="EPIC" dataDxfId="124" totalsRowDxfId="123"/>
    <tableColumn id="2" xr3:uid="{32A5D192-99D7-403F-B04B-9066559E861A}" name="User Story" totalsRowFunction="custom" dataDxfId="122" totalsRowDxfId="121">
      <totalsRowFormula>COUNTA(Table95[User Story])</totalsRowFormula>
    </tableColumn>
    <tableColumn id="3" xr3:uid="{DFEABBB1-8784-4E59-85C4-30295A416E60}" name="Task" totalsRowFunction="custom" dataDxfId="120" totalsRowDxfId="119">
      <totalsRowFormula>COUNTA(Table95[Task])</totalsRowFormula>
    </tableColumn>
    <tableColumn id="4" xr3:uid="{761A440C-271C-421D-AD39-BDF456A0D85A}" name="Sub Task" totalsRowFunction="custom" dataDxfId="118" totalsRowDxfId="117">
      <totalsRowFormula>COUNTA(Table95[Sub Task])</totalsRowFormula>
    </tableColumn>
    <tableColumn id="5" xr3:uid="{3FE4E374-CC75-452C-B17C-1F26B6F35F0B}" name="PM" dataDxfId="116" totalsRowDxfId="115"/>
    <tableColumn id="6" xr3:uid="{295858B7-D560-4FE7-9D42-53874CCD8EE6}" name="BA" dataDxfId="114" totalsRowDxfId="113"/>
    <tableColumn id="7" xr3:uid="{D87FB003-D2D3-4391-BD01-50A1F6ADD8B3}" name="Architect" dataDxfId="112" totalsRowDxfId="111"/>
    <tableColumn id="8" xr3:uid="{97A09BFC-2A2F-45E6-99D3-452942B287F7}" name="Tech Lead" dataDxfId="110" totalsRowDxfId="109"/>
    <tableColumn id="9" xr3:uid="{49A65B5D-7730-4FED-95B8-EBE480293F69}" name="Dev1" dataDxfId="108" totalsRowDxfId="107"/>
    <tableColumn id="10" xr3:uid="{D3E60FE9-7051-4BF4-B5BB-1BED4495D90A}" name="Dev2" dataDxfId="106" totalsRowDxfId="105"/>
    <tableColumn id="11" xr3:uid="{9F087F79-7AC6-454F-B4C5-86A0AB51D473}" name="Test Lead" dataDxfId="104" totalsRowDxfId="103"/>
    <tableColumn id="12" xr3:uid="{6300BD16-0A48-4B8A-90D0-4742C91D0242}" name="Test Engineer" dataDxfId="102" totalsRowDxfId="101"/>
    <tableColumn id="13" xr3:uid="{5A1540E9-F03A-4291-8BAE-5B4A2DBE432D}" name="DBA" dataDxfId="100" totalsRowDxfId="99"/>
    <tableColumn id="14" xr3:uid="{CE306D26-7E6C-46D2-875E-E2EC3FFF19A6}" name="DB Developer" dataDxfId="98" totalsRowDxfId="97"/>
    <tableColumn id="15" xr3:uid="{7BE9CD37-ADD6-4BFD-89A5-7DCD03B0DC14}" name="UX" dataDxfId="96" totalsRowDxfId="95"/>
    <tableColumn id="16" xr3:uid="{7093271D-4ED5-4A95-ADD4-4A8A2E446273}" name="UI" dataDxfId="94" totalsRowDxfId="93"/>
  </tableColumns>
  <tableStyleInfo name="TableStyleDark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B13063-06F1-4A62-B4A6-EE48A93F4D65}" name="Table9" displayName="Table9" ref="A1:Q66" totalsRowCount="1" headerRowDxfId="92" headerRowBorderDxfId="91" tableBorderDxfId="90" totalsRowBorderDxfId="89">
  <autoFilter ref="A1:Q65" xr:uid="{19B13063-06F1-4A62-B4A6-EE48A93F4D65}"/>
  <tableColumns count="17">
    <tableColumn id="1" xr3:uid="{1C13DE08-A86B-41B8-8B33-C019FDA383CF}" name="EPIC" dataDxfId="88" totalsRowDxfId="87"/>
    <tableColumn id="2" xr3:uid="{1B0FA49C-EA42-461F-AE51-96B8E104BE92}" name="User Story" totalsRowFunction="custom" dataDxfId="86" totalsRowDxfId="85">
      <totalsRowFormula>COUNTA(Table9[User Story])</totalsRowFormula>
    </tableColumn>
    <tableColumn id="3" xr3:uid="{1B6CF586-5AB6-4303-B9EF-FD59DCB0D120}" name="Task" totalsRowFunction="custom" dataDxfId="84" totalsRowDxfId="83">
      <totalsRowFormula>COUNTA(Table9[Task])</totalsRowFormula>
    </tableColumn>
    <tableColumn id="4" xr3:uid="{D9DAE2E6-99DD-4387-9144-9B06C9DEE11A}" name="Sub Task" totalsRowFunction="custom" dataDxfId="82" totalsRowDxfId="81">
      <totalsRowFormula>COUNTA(Table9[Sub Task])</totalsRowFormula>
    </tableColumn>
    <tableColumn id="18" xr3:uid="{68527D82-FF56-4B3A-8AA2-1E3CEFAC2E7B}" name="Web Forms" totalsRowFunction="custom" dataDxfId="80" totalsRowDxfId="79">
      <totalsRowFormula>COUNTA(Table9[Web Forms])</totalsRowFormula>
    </tableColumn>
    <tableColumn id="5" xr3:uid="{98B55179-BA79-4F70-82CD-9705BDEDF77D}" name="PM" dataDxfId="78" totalsRowDxfId="77"/>
    <tableColumn id="6" xr3:uid="{2C8EED47-C2FB-42CC-98AE-DAAF5B7C3705}" name="BA" dataDxfId="76" totalsRowDxfId="75"/>
    <tableColumn id="7" xr3:uid="{8F0DB636-C78D-4F41-8895-ABC7F43B30C8}" name="Architect" dataDxfId="74" totalsRowDxfId="73"/>
    <tableColumn id="8" xr3:uid="{76FD2B22-DFDE-4131-BAE3-4DA321D8FCBE}" name="Tech Lead" dataDxfId="72" totalsRowDxfId="71"/>
    <tableColumn id="9" xr3:uid="{3558418A-40D5-421C-B18B-9BAC67892217}" name="Dev1" dataDxfId="70" totalsRowDxfId="69"/>
    <tableColumn id="10" xr3:uid="{9FA360DC-05D8-416A-9E89-762EF7D60C31}" name="Dev2" dataDxfId="68" totalsRowDxfId="67"/>
    <tableColumn id="11" xr3:uid="{7FB3AEA5-BA26-4FFE-AA67-714EE8EC7427}" name="Test Lead" dataDxfId="66" totalsRowDxfId="65"/>
    <tableColumn id="12" xr3:uid="{7E4C26B6-6069-4243-A52B-2FF0C423D4E5}" name="Test Engineer" dataDxfId="64" totalsRowDxfId="63"/>
    <tableColumn id="13" xr3:uid="{B9CCF6EE-6BCF-4987-B4B1-5C08AB3230D8}" name="DBA" dataDxfId="62" totalsRowDxfId="61"/>
    <tableColumn id="14" xr3:uid="{E2588A80-0202-4081-A5CA-390F7176B936}" name="DB Developer" dataDxfId="60" totalsRowDxfId="59"/>
    <tableColumn id="15" xr3:uid="{58DB6603-DCBC-42B3-A3C9-DB18739FBC63}" name="UX" dataDxfId="58" totalsRowDxfId="57"/>
    <tableColumn id="16" xr3:uid="{F3ECF187-6BF7-433C-9A2E-0AECF1E2B4E5}" name="UI" dataDxfId="56" totalsRowDxfId="55"/>
  </tableColumns>
  <tableStyleInfo name="TableStyleDark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AE78CB-B818-4326-B885-0676869DD490}" name="Table3" displayName="Table3" ref="A1:S107" totalsRowShown="0" headerRowDxfId="54" headerRowBorderDxfId="53" tableBorderDxfId="52" totalsRowBorderDxfId="51">
  <autoFilter ref="A1:S107" xr:uid="{88AE78CB-B818-4326-B885-0676869DD490}"/>
  <tableColumns count="19">
    <tableColumn id="1" xr3:uid="{3A1AEAFF-4357-4089-B042-6A3D6CC430F5}" name="Epic" dataDxfId="50"/>
    <tableColumn id="2" xr3:uid="{8D44B415-5170-492D-B829-63E686E7111F}" name="User Story" dataDxfId="49"/>
    <tableColumn id="3" xr3:uid="{A696BD52-75F4-4F05-9071-92710DE3DE9D}" name="Task" dataDxfId="48"/>
    <tableColumn id="4" xr3:uid="{4BF1E796-E9B3-49F6-910E-68F7DA24D885}" name="Sub Task" dataDxfId="47"/>
    <tableColumn id="19" xr3:uid="{41702B90-4E9E-4E72-A33A-07C355411D62}" name="Web Forms" dataDxfId="46"/>
    <tableColumn id="5" xr3:uid="{04D7D7C1-FA0D-4748-A8A3-5D04160DB630}" name="PM" dataDxfId="45"/>
    <tableColumn id="6" xr3:uid="{B9B6F72A-AC32-423E-A415-56AAFA1AD9E0}" name="BA" dataDxfId="44"/>
    <tableColumn id="7" xr3:uid="{FC6299D1-6CC8-4944-AFA0-A4AC2533FB6F}" name="Architect" dataDxfId="43"/>
    <tableColumn id="8" xr3:uid="{49509BB2-7441-49E7-BA19-934C0133D35C}" name="Tech Lead" dataDxfId="42"/>
    <tableColumn id="9" xr3:uid="{59EBA642-DF5B-4E9B-A742-63F97721A10F}" name="Dev1" dataDxfId="41"/>
    <tableColumn id="10" xr3:uid="{D6109592-7E8F-42AB-8CDF-E32C4550EEE0}" name="Dev2" dataDxfId="40"/>
    <tableColumn id="11" xr3:uid="{47490DC9-8C27-4FE9-9CFF-8DA0E9457A0D}" name="Test Lead" dataDxfId="39"/>
    <tableColumn id="12" xr3:uid="{BCF5EED9-316D-4EAF-8E27-C1801C6D03C1}" name="Test Engineer" dataDxfId="38"/>
    <tableColumn id="13" xr3:uid="{706DDA8A-CA80-4C98-B4BF-3955F6B03826}" name="DBA" dataDxfId="37"/>
    <tableColumn id="14" xr3:uid="{A5FB34B3-1140-4831-BF40-49A188A0F5E0}" name="DB Developer" dataDxfId="36"/>
    <tableColumn id="15" xr3:uid="{21097AE9-0AA4-4714-B152-02D834657A46}" name="UX" dataDxfId="35"/>
    <tableColumn id="16" xr3:uid="{1D0F76A8-2C89-4F8A-BA1F-D8465F60DEC3}" name="UI" dataDxfId="34"/>
    <tableColumn id="17" xr3:uid="{51D23EA6-D682-4E98-9D93-31B7434ECE51}" name="Cloud Architect" dataDxfId="33"/>
    <tableColumn id="18" xr3:uid="{D9DABD07-5AAA-4CD2-BC8F-7C3D11A18257}" name="DevOps Engineer" dataDxfId="32"/>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C7AF66-9C74-4E99-9B46-53A7562B87FB}" name="Table2" displayName="Table2" ref="A1:R126" totalsRowShown="0" headerRowDxfId="31" dataDxfId="29" headerRowBorderDxfId="30" tableBorderDxfId="28">
  <autoFilter ref="A1:R126" xr:uid="{54C7AF66-9C74-4E99-9B46-53A7562B87FB}"/>
  <tableColumns count="18">
    <tableColumn id="1" xr3:uid="{08D87D09-D94F-4AF3-B65C-941F6698BBEA}" name="EPIC" dataDxfId="27"/>
    <tableColumn id="2" xr3:uid="{B4C55372-087D-4088-9B31-BC9FF37EFF3D}" name="User Story" dataDxfId="26"/>
    <tableColumn id="3" xr3:uid="{7E8719B7-7662-48ED-A357-1E8B8B41E3C9}" name="Task" dataDxfId="25"/>
    <tableColumn id="4" xr3:uid="{A530D88C-0550-4336-B119-9F8C6386B152}" name="Sub Task" dataDxfId="24"/>
    <tableColumn id="5" xr3:uid="{B33AB71F-33F6-4B27-A9A7-28C3517117FE}" name="PM" dataDxfId="23"/>
    <tableColumn id="6" xr3:uid="{1AD8E37C-5E9E-4F59-9008-AFE3549D653F}" name="BA" dataDxfId="22"/>
    <tableColumn id="7" xr3:uid="{572FC62C-3B02-4DDF-BDA4-D16B0EB553F7}" name="Architect" dataDxfId="21"/>
    <tableColumn id="8" xr3:uid="{90418892-E8AF-4F29-8998-D394DBB9E9DF}" name="Tech Lead" dataDxfId="20"/>
    <tableColumn id="9" xr3:uid="{74E4AC50-AF40-42AA-980D-6C1A3F089DB9}" name="Dev1" dataDxfId="19"/>
    <tableColumn id="10" xr3:uid="{66D57FE5-FDEE-47DA-98C5-514DB92628D0}" name="Dev2" dataDxfId="18"/>
    <tableColumn id="11" xr3:uid="{3A579094-3634-4F22-A0A7-61514B411C3F}" name="Test Lead" dataDxfId="17"/>
    <tableColumn id="12" xr3:uid="{E85EB2BF-C1E0-4857-97FE-99FA1FC21184}" name="Test Engineer" dataDxfId="16"/>
    <tableColumn id="13" xr3:uid="{E143A396-5290-45A2-B7E3-9097D59DE8EE}" name="DBA" dataDxfId="15"/>
    <tableColumn id="14" xr3:uid="{60E466AF-8906-4D61-8EE5-39839CEC2A6E}" name="DB Developer" dataDxfId="14"/>
    <tableColumn id="15" xr3:uid="{72371166-2B18-4D2D-A3CE-B3F4642C1ED0}" name="UX" dataDxfId="13"/>
    <tableColumn id="16" xr3:uid="{7413736F-700E-49C0-8A88-36A47147941A}" name="UI" dataDxfId="12"/>
    <tableColumn id="17" xr3:uid="{89959969-D827-48AF-B5B4-DB04B4EADED3}" name="Cloud Architect" dataDxfId="11"/>
    <tableColumn id="18" xr3:uid="{94D04B00-410E-43D2-9BCF-CEF422071A36}" name="DevOps Engineer" dataDxfId="10"/>
  </tableColumns>
  <tableStyleInfo name="TableStyleLight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79791F-0CBE-4B78-8E53-D458155E4BD3}" name="Table5" displayName="Table5" ref="A1:S148" totalsRowCount="1">
  <autoFilter ref="A1:S147" xr:uid="{1F79791F-0CBE-4B78-8E53-D458155E4BD3}"/>
  <tableColumns count="19">
    <tableColumn id="1" xr3:uid="{E3F2B847-DDC7-44DC-87C2-AF43ABEAF075}" name="EPIC" totalsRowFunction="custom" dataDxfId="9" totalsRowDxfId="8">
      <totalsRowFormula>COUNTA(Table5[EPIC])</totalsRowFormula>
    </tableColumn>
    <tableColumn id="2" xr3:uid="{24854E07-4D4D-492F-9C12-CCF2A164BD21}" name="User Story" totalsRowFunction="custom" dataDxfId="7" totalsRowDxfId="6">
      <totalsRowFormula>COUNTA(Table5[User Story])</totalsRowFormula>
    </tableColumn>
    <tableColumn id="3" xr3:uid="{B964002B-EA71-4A8B-A987-2D23A4511AD9}" name="Task" totalsRowFunction="custom" dataDxfId="5" totalsRowDxfId="4">
      <totalsRowFormula>COUNTA(Table5[Task])</totalsRowFormula>
    </tableColumn>
    <tableColumn id="4" xr3:uid="{BCED4338-ABA4-4F11-B19B-DC88B6040EE6}" name="Sub Task" totalsRowFunction="custom" dataDxfId="3" totalsRowDxfId="2">
      <totalsRowFormula>COUNTA(Table5[Sub Task])</totalsRowFormula>
    </tableColumn>
    <tableColumn id="19" xr3:uid="{70C0024F-2D67-4060-AAED-AA04055594F7}" name="Web Forms" totalsRowFunction="custom" dataDxfId="1" totalsRowDxfId="0">
      <totalsRowFormula>COUNTA(Table5[Web Forms])</totalsRowFormula>
    </tableColumn>
    <tableColumn id="5" xr3:uid="{7EB3A80D-56E9-4C50-A5FD-3B02C15F1F4C}" name="PM" totalsRowFunction="custom">
      <totalsRowFormula>SUM(Table5[PM])</totalsRowFormula>
    </tableColumn>
    <tableColumn id="6" xr3:uid="{86BFC968-F6A7-4A6F-A573-5E4BF535B91D}" name="BA" totalsRowFunction="custom">
      <totalsRowFormula>SUM(Table5[BA])</totalsRowFormula>
    </tableColumn>
    <tableColumn id="7" xr3:uid="{2FEAFDB1-FB7E-4F11-85BE-CA1A8A8B4AE9}" name="Architect" totalsRowFunction="custom">
      <totalsRowFormula>SUM(Table5[Architect])</totalsRowFormula>
    </tableColumn>
    <tableColumn id="8" xr3:uid="{87BECECF-43BB-46E1-8473-2A5859AC199B}" name="Tech Lead" totalsRowFunction="custom">
      <totalsRowFormula>SUM(Table5[Tech Lead])</totalsRowFormula>
    </tableColumn>
    <tableColumn id="9" xr3:uid="{96A3E11F-9753-450C-A555-50DDA8A4A6F6}" name="Dev1" totalsRowFunction="custom">
      <totalsRowFormula>SUM(Table5[Dev1])</totalsRowFormula>
    </tableColumn>
    <tableColumn id="10" xr3:uid="{D2B204E1-131B-4ACC-9850-982088425D36}" name="Dev2" totalsRowFunction="custom">
      <totalsRowFormula>SUM(Table5[Dev2])</totalsRowFormula>
    </tableColumn>
    <tableColumn id="11" xr3:uid="{0C9D7F22-03AB-44EA-B338-9B689CA25EB4}" name="Test Lead" totalsRowFunction="custom">
      <totalsRowFormula>SUM(Table5[Test Lead])</totalsRowFormula>
    </tableColumn>
    <tableColumn id="12" xr3:uid="{9AEF610E-670E-4359-A5F2-6B64CADFF244}" name="Test Engineer" totalsRowFunction="custom">
      <totalsRowFormula>SUM(Table5[Test Engineer])</totalsRowFormula>
    </tableColumn>
    <tableColumn id="13" xr3:uid="{B023E3A3-62DF-4842-8433-9353399F8716}" name="DBA" totalsRowFunction="custom">
      <totalsRowFormula>SUM(Table5[DBA])</totalsRowFormula>
    </tableColumn>
    <tableColumn id="14" xr3:uid="{CF8BADB7-C6AE-448B-BFD7-668A091184EE}" name="DB Developer" totalsRowFunction="custom">
      <totalsRowFormula>SUM(Table5[DB Developer])</totalsRowFormula>
    </tableColumn>
    <tableColumn id="15" xr3:uid="{BC2C408C-3F95-4BF0-BEE6-9A402A796E12}" name="UX" totalsRowFunction="custom">
      <totalsRowFormula>SUM(Table5[UX])</totalsRowFormula>
    </tableColumn>
    <tableColumn id="16" xr3:uid="{D0F56AD0-EA00-4DAD-AE57-729D1B834138}" name="UI" totalsRowFunction="custom">
      <totalsRowFormula>SUM(Table5[UI])</totalsRowFormula>
    </tableColumn>
    <tableColumn id="17" xr3:uid="{CBDB7E3A-CC04-4DFB-A24E-9E33D910C3F9}" name="Cloud Architect"/>
    <tableColumn id="18" xr3:uid="{F30ACF12-B49F-432A-B7D1-092C45AC1C17}" name="DevOps Engineer"/>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13F996-D1E6-4D1E-9F5F-A850D9C284A9}" name="Table57" displayName="Table57" ref="A1:R17" totalsRowCount="1">
  <autoFilter ref="A1:R16" xr:uid="{8513F996-D1E6-4D1E-9F5F-A850D9C284A9}"/>
  <tableColumns count="18">
    <tableColumn id="1" xr3:uid="{69711BEC-35C0-4FAB-B342-31F7E6148D51}" name="EPIC"/>
    <tableColumn id="2" xr3:uid="{CCD7D707-1DC9-4C0E-B060-13FE2A30F3A5}" name="User Story"/>
    <tableColumn id="3" xr3:uid="{C3B011E9-8EC4-47E5-9C7E-5867457B35BF}" name="Task"/>
    <tableColumn id="4" xr3:uid="{3C0856B8-3106-4E44-B3CA-010B5071D982}" name="Sub Task"/>
    <tableColumn id="5" xr3:uid="{8D735415-FC69-44BB-8544-226CFE2BEB46}" name="PM" totalsRowFunction="custom">
      <totalsRowFormula>SUM(Table57[PM])</totalsRowFormula>
    </tableColumn>
    <tableColumn id="6" xr3:uid="{A6C1FC6B-5115-4E20-B0DB-0ABF4413EF4B}" name="BA" totalsRowFunction="custom">
      <totalsRowFormula>SUM(Table57[BA])</totalsRowFormula>
    </tableColumn>
    <tableColumn id="7" xr3:uid="{9C7EE604-20FA-45CB-8792-C42C432C7B08}" name="Architect" totalsRowFunction="custom">
      <totalsRowFormula>SUM(Table57[Architect])</totalsRowFormula>
    </tableColumn>
    <tableColumn id="8" xr3:uid="{B32987B5-1990-4DAF-ABD6-952159372501}" name="Tech Lead" totalsRowFunction="custom">
      <totalsRowFormula>SUM(Table57[Tech Lead])</totalsRowFormula>
    </tableColumn>
    <tableColumn id="9" xr3:uid="{410FCEC8-7C81-41B7-B8B6-606C023418AB}" name="Dev1" totalsRowFunction="custom">
      <totalsRowFormula>SUM(Table57[Dev1])</totalsRowFormula>
    </tableColumn>
    <tableColumn id="10" xr3:uid="{729B0273-E804-4B26-8CCC-C07E8ACBEAAF}" name="Dev2" totalsRowFunction="custom">
      <totalsRowFormula>SUM(Table57[Dev2])</totalsRowFormula>
    </tableColumn>
    <tableColumn id="11" xr3:uid="{6EAADADA-387C-41E6-8E64-A926504CC060}" name="Test Lead" totalsRowFunction="custom">
      <totalsRowFormula>SUM(Table57[Test Lead])</totalsRowFormula>
    </tableColumn>
    <tableColumn id="12" xr3:uid="{7614EC05-106A-4BD7-B9F2-6639F19D6CF4}" name="Test Engineer" totalsRowFunction="custom">
      <totalsRowFormula>SUM(Table57[Test Engineer])</totalsRowFormula>
    </tableColumn>
    <tableColumn id="13" xr3:uid="{83FD4CFE-1A08-460B-B8AC-80450F504398}" name="DBA" totalsRowFunction="custom">
      <totalsRowFormula>SUM(Table57[DBA])</totalsRowFormula>
    </tableColumn>
    <tableColumn id="14" xr3:uid="{B37E9E9C-7A1F-4BBE-B275-4D0E21DA4DA7}" name="DB Developer" totalsRowFunction="custom">
      <totalsRowFormula>SUM(Table57[DB Developer])</totalsRowFormula>
    </tableColumn>
    <tableColumn id="15" xr3:uid="{633E029B-601B-4801-A780-8D335E2F26F5}" name="UX" totalsRowFunction="custom">
      <totalsRowFormula>SUM(Table57[UX])</totalsRowFormula>
    </tableColumn>
    <tableColumn id="16" xr3:uid="{A17438D7-6635-4436-8B19-68A31E31F307}" name="UI" totalsRowFunction="custom">
      <totalsRowFormula>SUM(Table57[UI])</totalsRowFormula>
    </tableColumn>
    <tableColumn id="17" xr3:uid="{D96373E4-9CAC-4A90-8CD8-E97BC2F34886}" name="Cloud Architect"/>
    <tableColumn id="18" xr3:uid="{8A48FE5E-869B-4653-A623-EEF68281A1E5}" name="DevOps Engineer"/>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8" Type="http://schemas.openxmlformats.org/officeDocument/2006/relationships/hyperlink" Target="mailto:!Coke@1044407" TargetMode="External"/><Relationship Id="rId3" Type="http://schemas.openxmlformats.org/officeDocument/2006/relationships/hyperlink" Target="https://cocacolaph-tst.outsystemsenterprise.com/CAF_Internal" TargetMode="External"/><Relationship Id="rId7" Type="http://schemas.openxmlformats.org/officeDocument/2006/relationships/hyperlink" Target="https://cocacolaph-dev.outsystemsenterprise.com/CWT" TargetMode="External"/><Relationship Id="rId2" Type="http://schemas.openxmlformats.org/officeDocument/2006/relationships/hyperlink" Target="mailto:c-chris.lugue@coca-cola.com.ph" TargetMode="External"/><Relationship Id="rId1" Type="http://schemas.openxmlformats.org/officeDocument/2006/relationships/hyperlink" Target="https://cocacolaph-dev.outsystemsenterprise.com/CWT" TargetMode="External"/><Relationship Id="rId6" Type="http://schemas.openxmlformats.org/officeDocument/2006/relationships/hyperlink" Target="https://cocacolaph-tst.outsystemsenterprise.com/CustomerManagement/" TargetMode="External"/><Relationship Id="rId5" Type="http://schemas.openxmlformats.org/officeDocument/2006/relationships/hyperlink" Target="mailto:P@ssw0rd123" TargetMode="External"/><Relationship Id="rId4" Type="http://schemas.openxmlformats.org/officeDocument/2006/relationships/hyperlink" Target="mailto:CAF_Admin@cocacola.com" TargetMode="External"/><Relationship Id="rId9" Type="http://schemas.openxmlformats.org/officeDocument/2006/relationships/hyperlink" Target="mailto:c-chethan.chandrashekhar@coca-cola.com.p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10862-3E8C-43E7-91EE-F1708081BC04}">
  <dimension ref="A1:G42"/>
  <sheetViews>
    <sheetView topLeftCell="A25" workbookViewId="0">
      <selection activeCell="F2" sqref="F2:F42"/>
    </sheetView>
  </sheetViews>
  <sheetFormatPr defaultRowHeight="14.4" x14ac:dyDescent="0.3"/>
  <cols>
    <col min="1" max="1" width="11" bestFit="1" customWidth="1"/>
    <col min="2" max="2" width="17.5546875" bestFit="1" customWidth="1"/>
    <col min="3" max="3" width="24.33203125" bestFit="1" customWidth="1"/>
    <col min="4" max="4" width="9.33203125" bestFit="1" customWidth="1"/>
    <col min="5" max="5" width="14.88671875" bestFit="1" customWidth="1"/>
    <col min="6" max="6" width="13.33203125" bestFit="1" customWidth="1"/>
    <col min="7" max="7" width="20.6640625" bestFit="1" customWidth="1"/>
  </cols>
  <sheetData>
    <row r="1" spans="1:7" ht="28.8" x14ac:dyDescent="0.3">
      <c r="A1" s="2" t="s">
        <v>0</v>
      </c>
      <c r="B1" s="3" t="s">
        <v>1</v>
      </c>
      <c r="C1" s="3" t="s">
        <v>2</v>
      </c>
      <c r="D1" s="3" t="s">
        <v>3</v>
      </c>
      <c r="E1" s="3" t="s">
        <v>4</v>
      </c>
      <c r="F1" s="4" t="s">
        <v>5</v>
      </c>
      <c r="G1" s="3" t="s">
        <v>6</v>
      </c>
    </row>
    <row r="2" spans="1:7" x14ac:dyDescent="0.3">
      <c r="A2" s="5" t="s">
        <v>7</v>
      </c>
      <c r="B2" s="1"/>
      <c r="C2" s="1"/>
      <c r="D2" s="1"/>
      <c r="E2" s="1">
        <v>0</v>
      </c>
      <c r="F2" s="6">
        <v>0</v>
      </c>
      <c r="G2" s="9" t="s">
        <v>8</v>
      </c>
    </row>
    <row r="3" spans="1:7" x14ac:dyDescent="0.3">
      <c r="A3" s="5"/>
      <c r="B3" s="1" t="s">
        <v>9</v>
      </c>
      <c r="C3" s="1" t="s">
        <v>10</v>
      </c>
      <c r="D3" s="1"/>
      <c r="E3" s="1">
        <v>8</v>
      </c>
      <c r="F3" s="6">
        <f xml:space="preserve">
IF(Table1[[#This Row],[Point Value]]=1,1,IF(Table1[[#This Row],[Point Value]]=2,2,IF(Table1[[#This Row],[Point Value]]=3,3,IF(Table1[[#This Row],[Point Value]]=5,4, IF(Table1[[#This Row],[Point Value]]=8,5, IF(Table1[[#This Row],[Point Value]]=13,10, IF(Table1[[#This Row],[Point Value]]=20, 15,IF(Table1[[#This Row],[Point Value]]=40,40))))))))</f>
        <v>5</v>
      </c>
      <c r="G3" s="1" t="s">
        <v>8</v>
      </c>
    </row>
    <row r="4" spans="1:7" x14ac:dyDescent="0.3">
      <c r="A4" s="5"/>
      <c r="B4" s="1"/>
      <c r="C4" s="1" t="s">
        <v>11</v>
      </c>
      <c r="D4" s="1"/>
      <c r="E4" s="1">
        <v>8</v>
      </c>
      <c r="F4" s="6">
        <f xml:space="preserve">
IF(Table1[[#This Row],[Point Value]]=1,1,IF(Table1[[#This Row],[Point Value]]=2,2,IF(Table1[[#This Row],[Point Value]]=3,3,IF(Table1[[#This Row],[Point Value]]=5,4, IF(Table1[[#This Row],[Point Value]]=8,5, IF(Table1[[#This Row],[Point Value]]=13,10, IF(Table1[[#This Row],[Point Value]]=20, 15,IF(Table1[[#This Row],[Point Value]]=40,40))))))))</f>
        <v>5</v>
      </c>
      <c r="G4" s="1" t="s">
        <v>8</v>
      </c>
    </row>
    <row r="5" spans="1:7" x14ac:dyDescent="0.3">
      <c r="A5" s="5"/>
      <c r="B5" s="1"/>
      <c r="C5" s="1" t="s">
        <v>12</v>
      </c>
      <c r="D5" s="1"/>
      <c r="E5" s="1"/>
      <c r="F5" s="6"/>
      <c r="G5" s="1"/>
    </row>
    <row r="6" spans="1:7" x14ac:dyDescent="0.3">
      <c r="A6" s="5"/>
      <c r="B6" s="1"/>
      <c r="C6" s="1" t="s">
        <v>13</v>
      </c>
      <c r="D6" s="1"/>
      <c r="E6" s="1">
        <v>5</v>
      </c>
      <c r="F6" s="6">
        <f xml:space="preserve">
IF(Table1[[#This Row],[Point Value]]=1,1,IF(Table1[[#This Row],[Point Value]]=2,2,IF(Table1[[#This Row],[Point Value]]=3,3,IF(Table1[[#This Row],[Point Value]]=5,4, IF(Table1[[#This Row],[Point Value]]=8,5, IF(Table1[[#This Row],[Point Value]]=13,10, IF(Table1[[#This Row],[Point Value]]=20, 15,IF(Table1[[#This Row],[Point Value]]=40,40))))))))</f>
        <v>4</v>
      </c>
      <c r="G6" s="1" t="s">
        <v>8</v>
      </c>
    </row>
    <row r="7" spans="1:7" x14ac:dyDescent="0.3">
      <c r="A7" s="5"/>
      <c r="B7" s="1" t="s">
        <v>14</v>
      </c>
      <c r="C7" s="1" t="s">
        <v>14</v>
      </c>
      <c r="D7" s="1"/>
      <c r="E7" s="1">
        <v>8</v>
      </c>
      <c r="F7" s="6">
        <f xml:space="preserve">
IF(Table1[[#This Row],[Point Value]]=1,1,IF(Table1[[#This Row],[Point Value]]=2,2,IF(Table1[[#This Row],[Point Value]]=3,3,IF(Table1[[#This Row],[Point Value]]=5,4, IF(Table1[[#This Row],[Point Value]]=8,5, IF(Table1[[#This Row],[Point Value]]=13,10, IF(Table1[[#This Row],[Point Value]]=20, 15,IF(Table1[[#This Row],[Point Value]]=40,40))))))))</f>
        <v>5</v>
      </c>
      <c r="G7" s="1" t="s">
        <v>8</v>
      </c>
    </row>
    <row r="8" spans="1:7" x14ac:dyDescent="0.3">
      <c r="A8" s="5"/>
      <c r="B8" s="1"/>
      <c r="C8" s="1" t="s">
        <v>15</v>
      </c>
      <c r="D8" s="1"/>
      <c r="E8" s="1">
        <v>8</v>
      </c>
      <c r="F8" s="6">
        <f xml:space="preserve">
IF(Table1[[#This Row],[Point Value]]=1,1,IF(Table1[[#This Row],[Point Value]]=2,2,IF(Table1[[#This Row],[Point Value]]=3,3,IF(Table1[[#This Row],[Point Value]]=5,4, IF(Table1[[#This Row],[Point Value]]=8,5, IF(Table1[[#This Row],[Point Value]]=13,10, IF(Table1[[#This Row],[Point Value]]=20, 15,IF(Table1[[#This Row],[Point Value]]=40,40))))))))</f>
        <v>5</v>
      </c>
      <c r="G8" s="1" t="s">
        <v>8</v>
      </c>
    </row>
    <row r="9" spans="1:7" x14ac:dyDescent="0.3">
      <c r="A9" s="5"/>
      <c r="B9" s="1"/>
      <c r="C9" s="1" t="s">
        <v>16</v>
      </c>
      <c r="D9" s="1"/>
      <c r="E9" s="1">
        <v>8</v>
      </c>
      <c r="F9" s="6">
        <f xml:space="preserve">
IF(Table1[[#This Row],[Point Value]]=1,1,IF(Table1[[#This Row],[Point Value]]=2,2,IF(Table1[[#This Row],[Point Value]]=3,3,IF(Table1[[#This Row],[Point Value]]=5,4, IF(Table1[[#This Row],[Point Value]]=8,5, IF(Table1[[#This Row],[Point Value]]=13,10, IF(Table1[[#This Row],[Point Value]]=20, 15,IF(Table1[[#This Row],[Point Value]]=40,40))))))))</f>
        <v>5</v>
      </c>
      <c r="G9" s="1" t="s">
        <v>8</v>
      </c>
    </row>
    <row r="10" spans="1:7" x14ac:dyDescent="0.3">
      <c r="A10" s="5"/>
      <c r="B10" s="1"/>
      <c r="C10" s="1" t="s">
        <v>17</v>
      </c>
      <c r="D10" s="1"/>
      <c r="E10" s="1">
        <v>5</v>
      </c>
      <c r="F10" s="6">
        <f xml:space="preserve">
IF(Table1[[#This Row],[Point Value]]=1,1,IF(Table1[[#This Row],[Point Value]]=2,2,IF(Table1[[#This Row],[Point Value]]=3,3,IF(Table1[[#This Row],[Point Value]]=5,4, IF(Table1[[#This Row],[Point Value]]=8,5, IF(Table1[[#This Row],[Point Value]]=13,10, IF(Table1[[#This Row],[Point Value]]=20, 15,IF(Table1[[#This Row],[Point Value]]=40,40))))))))</f>
        <v>4</v>
      </c>
      <c r="G10" s="1" t="s">
        <v>8</v>
      </c>
    </row>
    <row r="11" spans="1:7" x14ac:dyDescent="0.3">
      <c r="A11" s="5"/>
      <c r="B11" s="1"/>
      <c r="C11" s="1" t="s">
        <v>18</v>
      </c>
      <c r="D11" s="1"/>
      <c r="E11" s="1">
        <v>13</v>
      </c>
      <c r="F11" s="6">
        <f xml:space="preserve">
IF(Table1[[#This Row],[Point Value]]=1,1,IF(Table1[[#This Row],[Point Value]]=2,2,IF(Table1[[#This Row],[Point Value]]=3,3,IF(Table1[[#This Row],[Point Value]]=5,4, IF(Table1[[#This Row],[Point Value]]=8,5, IF(Table1[[#This Row],[Point Value]]=13,10, IF(Table1[[#This Row],[Point Value]]=20, 15,IF(Table1[[#This Row],[Point Value]]=40,40))))))))</f>
        <v>10</v>
      </c>
      <c r="G11" s="1" t="s">
        <v>8</v>
      </c>
    </row>
    <row r="12" spans="1:7" x14ac:dyDescent="0.3">
      <c r="A12" s="5"/>
      <c r="B12" s="1" t="s">
        <v>19</v>
      </c>
      <c r="C12" s="1" t="s">
        <v>20</v>
      </c>
      <c r="D12" s="1"/>
      <c r="E12" s="1">
        <v>8</v>
      </c>
      <c r="F12" s="6">
        <f xml:space="preserve">
IF(Table1[[#This Row],[Point Value]]=1,1,IF(Table1[[#This Row],[Point Value]]=2,2,IF(Table1[[#This Row],[Point Value]]=3,3,IF(Table1[[#This Row],[Point Value]]=5,4, IF(Table1[[#This Row],[Point Value]]=8,5, IF(Table1[[#This Row],[Point Value]]=13,10, IF(Table1[[#This Row],[Point Value]]=20, 15,IF(Table1[[#This Row],[Point Value]]=40,40))))))))</f>
        <v>5</v>
      </c>
      <c r="G12" s="1" t="s">
        <v>8</v>
      </c>
    </row>
    <row r="13" spans="1:7" x14ac:dyDescent="0.3">
      <c r="A13" s="5"/>
      <c r="B13" s="1"/>
      <c r="C13" s="1" t="s">
        <v>21</v>
      </c>
      <c r="D13" s="1"/>
      <c r="E13" s="1">
        <v>8</v>
      </c>
      <c r="F13" s="6">
        <f xml:space="preserve">
IF(Table1[[#This Row],[Point Value]]=1,1,IF(Table1[[#This Row],[Point Value]]=2,2,IF(Table1[[#This Row],[Point Value]]=3,3,IF(Table1[[#This Row],[Point Value]]=5,4, IF(Table1[[#This Row],[Point Value]]=8,5, IF(Table1[[#This Row],[Point Value]]=13,10, IF(Table1[[#This Row],[Point Value]]=20, 15,IF(Table1[[#This Row],[Point Value]]=40,40))))))))</f>
        <v>5</v>
      </c>
      <c r="G13" s="1" t="s">
        <v>8</v>
      </c>
    </row>
    <row r="14" spans="1:7" x14ac:dyDescent="0.3">
      <c r="A14" s="5"/>
      <c r="B14" s="1"/>
      <c r="C14" s="1" t="s">
        <v>22</v>
      </c>
      <c r="D14" s="1"/>
      <c r="E14" s="1">
        <v>8</v>
      </c>
      <c r="F14" s="6">
        <f xml:space="preserve">
IF(Table1[[#This Row],[Point Value]]=1,1,IF(Table1[[#This Row],[Point Value]]=2,2,IF(Table1[[#This Row],[Point Value]]=3,3,IF(Table1[[#This Row],[Point Value]]=5,4, IF(Table1[[#This Row],[Point Value]]=8,5, IF(Table1[[#This Row],[Point Value]]=13,10, IF(Table1[[#This Row],[Point Value]]=20, 15,IF(Table1[[#This Row],[Point Value]]=40,40))))))))</f>
        <v>5</v>
      </c>
      <c r="G14" s="1" t="s">
        <v>8</v>
      </c>
    </row>
    <row r="15" spans="1:7" x14ac:dyDescent="0.3">
      <c r="A15" s="5"/>
      <c r="B15" s="1"/>
      <c r="C15" s="1" t="s">
        <v>23</v>
      </c>
      <c r="D15" s="1"/>
      <c r="E15" s="1">
        <v>8</v>
      </c>
      <c r="F15" s="6">
        <f xml:space="preserve">
IF(Table1[[#This Row],[Point Value]]=1,1,IF(Table1[[#This Row],[Point Value]]=2,2,IF(Table1[[#This Row],[Point Value]]=3,3,IF(Table1[[#This Row],[Point Value]]=5,4, IF(Table1[[#This Row],[Point Value]]=8,5, IF(Table1[[#This Row],[Point Value]]=13,10, IF(Table1[[#This Row],[Point Value]]=20, 15,IF(Table1[[#This Row],[Point Value]]=40,40))))))))</f>
        <v>5</v>
      </c>
      <c r="G15" s="1" t="s">
        <v>8</v>
      </c>
    </row>
    <row r="16" spans="1:7" x14ac:dyDescent="0.3">
      <c r="A16" s="5"/>
      <c r="B16" s="1"/>
      <c r="C16" s="1" t="s">
        <v>24</v>
      </c>
      <c r="D16" s="1"/>
      <c r="E16" s="1">
        <v>8</v>
      </c>
      <c r="F16" s="6">
        <f xml:space="preserve">
IF(Table1[[#This Row],[Point Value]]=1,1,IF(Table1[[#This Row],[Point Value]]=2,2,IF(Table1[[#This Row],[Point Value]]=3,3,IF(Table1[[#This Row],[Point Value]]=5,4, IF(Table1[[#This Row],[Point Value]]=8,5, IF(Table1[[#This Row],[Point Value]]=13,10, IF(Table1[[#This Row],[Point Value]]=20, 15,IF(Table1[[#This Row],[Point Value]]=40,40))))))))</f>
        <v>5</v>
      </c>
      <c r="G16" s="1" t="s">
        <v>8</v>
      </c>
    </row>
    <row r="17" spans="1:7" x14ac:dyDescent="0.3">
      <c r="A17" s="5"/>
      <c r="B17" s="1"/>
      <c r="C17" s="1" t="s">
        <v>25</v>
      </c>
      <c r="D17" s="1"/>
      <c r="E17" s="1">
        <v>5</v>
      </c>
      <c r="F17" s="6">
        <f xml:space="preserve">
IF(Table1[[#This Row],[Point Value]]=1,1,IF(Table1[[#This Row],[Point Value]]=2,2,IF(Table1[[#This Row],[Point Value]]=3,3,IF(Table1[[#This Row],[Point Value]]=5,4, IF(Table1[[#This Row],[Point Value]]=8,5, IF(Table1[[#This Row],[Point Value]]=13,10, IF(Table1[[#This Row],[Point Value]]=20, 15,IF(Table1[[#This Row],[Point Value]]=40,40))))))))</f>
        <v>4</v>
      </c>
      <c r="G17" s="1" t="s">
        <v>8</v>
      </c>
    </row>
    <row r="18" spans="1:7" x14ac:dyDescent="0.3">
      <c r="A18" s="5"/>
      <c r="B18" s="1"/>
      <c r="C18" s="1" t="s">
        <v>26</v>
      </c>
      <c r="D18" s="1"/>
      <c r="E18" s="1">
        <v>5</v>
      </c>
      <c r="F18" s="6">
        <f xml:space="preserve">
IF(Table1[[#This Row],[Point Value]]=1,1,IF(Table1[[#This Row],[Point Value]]=2,2,IF(Table1[[#This Row],[Point Value]]=3,3,IF(Table1[[#This Row],[Point Value]]=5,4, IF(Table1[[#This Row],[Point Value]]=8,5, IF(Table1[[#This Row],[Point Value]]=13,10, IF(Table1[[#This Row],[Point Value]]=20, 15,IF(Table1[[#This Row],[Point Value]]=40,40))))))))</f>
        <v>4</v>
      </c>
      <c r="G18" s="1" t="s">
        <v>8</v>
      </c>
    </row>
    <row r="19" spans="1:7" x14ac:dyDescent="0.3">
      <c r="A19" s="5"/>
      <c r="B19" s="1"/>
      <c r="C19" s="1" t="s">
        <v>27</v>
      </c>
      <c r="D19" s="1"/>
      <c r="E19" s="1">
        <v>5</v>
      </c>
      <c r="F19" s="6">
        <f xml:space="preserve">
IF(Table1[[#This Row],[Point Value]]=1,1,IF(Table1[[#This Row],[Point Value]]=2,2,IF(Table1[[#This Row],[Point Value]]=3,3,IF(Table1[[#This Row],[Point Value]]=5,4, IF(Table1[[#This Row],[Point Value]]=8,5, IF(Table1[[#This Row],[Point Value]]=13,10, IF(Table1[[#This Row],[Point Value]]=20, 15,IF(Table1[[#This Row],[Point Value]]=40,40))))))))</f>
        <v>4</v>
      </c>
      <c r="G19" s="1" t="s">
        <v>8</v>
      </c>
    </row>
    <row r="20" spans="1:7" x14ac:dyDescent="0.3">
      <c r="A20" s="5"/>
      <c r="B20" s="1"/>
      <c r="C20" s="1" t="s">
        <v>28</v>
      </c>
      <c r="D20" s="1"/>
      <c r="E20" s="1">
        <v>5</v>
      </c>
      <c r="F20" s="6">
        <f xml:space="preserve">
IF(Table1[[#This Row],[Point Value]]=1,1,IF(Table1[[#This Row],[Point Value]]=2,2,IF(Table1[[#This Row],[Point Value]]=3,3,IF(Table1[[#This Row],[Point Value]]=5,4, IF(Table1[[#This Row],[Point Value]]=8,5, IF(Table1[[#This Row],[Point Value]]=13,10, IF(Table1[[#This Row],[Point Value]]=20, 15,IF(Table1[[#This Row],[Point Value]]=40,40))))))))</f>
        <v>4</v>
      </c>
      <c r="G20" s="1" t="s">
        <v>8</v>
      </c>
    </row>
    <row r="21" spans="1:7" x14ac:dyDescent="0.3">
      <c r="A21" s="5"/>
      <c r="B21" s="1"/>
      <c r="C21" s="1" t="s">
        <v>29</v>
      </c>
      <c r="D21" s="1"/>
      <c r="E21" s="1">
        <v>5</v>
      </c>
      <c r="F21" s="6">
        <f xml:space="preserve">
IF(Table1[[#This Row],[Point Value]]=1,1,IF(Table1[[#This Row],[Point Value]]=2,2,IF(Table1[[#This Row],[Point Value]]=3,3,IF(Table1[[#This Row],[Point Value]]=5,4, IF(Table1[[#This Row],[Point Value]]=8,5, IF(Table1[[#This Row],[Point Value]]=13,10, IF(Table1[[#This Row],[Point Value]]=20, 15,IF(Table1[[#This Row],[Point Value]]=40,40))))))))</f>
        <v>4</v>
      </c>
      <c r="G21" s="1" t="s">
        <v>8</v>
      </c>
    </row>
    <row r="22" spans="1:7" x14ac:dyDescent="0.3">
      <c r="A22" s="5"/>
      <c r="B22" s="1"/>
      <c r="C22" s="1" t="s">
        <v>30</v>
      </c>
      <c r="D22" s="1"/>
      <c r="E22" s="1">
        <v>5</v>
      </c>
      <c r="F22" s="6">
        <f xml:space="preserve">
IF(Table1[[#This Row],[Point Value]]=1,1,IF(Table1[[#This Row],[Point Value]]=2,2,IF(Table1[[#This Row],[Point Value]]=3,3,IF(Table1[[#This Row],[Point Value]]=5,4, IF(Table1[[#This Row],[Point Value]]=8,5, IF(Table1[[#This Row],[Point Value]]=13,10, IF(Table1[[#This Row],[Point Value]]=20, 15,IF(Table1[[#This Row],[Point Value]]=40,40))))))))</f>
        <v>4</v>
      </c>
      <c r="G22" s="1" t="s">
        <v>8</v>
      </c>
    </row>
    <row r="23" spans="1:7" x14ac:dyDescent="0.3">
      <c r="A23" s="5"/>
      <c r="B23" s="1" t="s">
        <v>31</v>
      </c>
      <c r="C23" s="1" t="s">
        <v>32</v>
      </c>
      <c r="D23" s="1"/>
      <c r="E23" s="1">
        <v>8</v>
      </c>
      <c r="F23" s="6">
        <f xml:space="preserve">
IF(Table1[[#This Row],[Point Value]]=1,1,IF(Table1[[#This Row],[Point Value]]=2,2,IF(Table1[[#This Row],[Point Value]]=3,3,IF(Table1[[#This Row],[Point Value]]=5,4, IF(Table1[[#This Row],[Point Value]]=8,5, IF(Table1[[#This Row],[Point Value]]=13,10, IF(Table1[[#This Row],[Point Value]]=20, 15,IF(Table1[[#This Row],[Point Value]]=40,40))))))))</f>
        <v>5</v>
      </c>
      <c r="G23" s="1" t="s">
        <v>33</v>
      </c>
    </row>
    <row r="24" spans="1:7" x14ac:dyDescent="0.3">
      <c r="A24" s="5"/>
      <c r="B24" s="1"/>
      <c r="C24" s="1" t="s">
        <v>34</v>
      </c>
      <c r="D24" s="1"/>
      <c r="E24" s="1">
        <v>8</v>
      </c>
      <c r="F24" s="6">
        <f xml:space="preserve">
IF(Table1[[#This Row],[Point Value]]=1,1,IF(Table1[[#This Row],[Point Value]]=2,2,IF(Table1[[#This Row],[Point Value]]=3,3,IF(Table1[[#This Row],[Point Value]]=5,4, IF(Table1[[#This Row],[Point Value]]=8,5, IF(Table1[[#This Row],[Point Value]]=13,10, IF(Table1[[#This Row],[Point Value]]=20, 15,IF(Table1[[#This Row],[Point Value]]=40,40))))))))</f>
        <v>5</v>
      </c>
      <c r="G24" s="1" t="s">
        <v>33</v>
      </c>
    </row>
    <row r="25" spans="1:7" x14ac:dyDescent="0.3">
      <c r="A25" s="5"/>
      <c r="B25" s="1" t="s">
        <v>35</v>
      </c>
      <c r="C25" s="1" t="s">
        <v>36</v>
      </c>
      <c r="D25" s="1"/>
      <c r="E25" s="1">
        <v>40</v>
      </c>
      <c r="F25" s="6">
        <f xml:space="preserve">
IF(Table1[[#This Row],[Point Value]]=1,1,IF(Table1[[#This Row],[Point Value]]=2,2,IF(Table1[[#This Row],[Point Value]]=3,3,IF(Table1[[#This Row],[Point Value]]=5,4, IF(Table1[[#This Row],[Point Value]]=8,5, IF(Table1[[#This Row],[Point Value]]=13,10, IF(Table1[[#This Row],[Point Value]]=20, 15,IF(Table1[[#This Row],[Point Value]]=40,40))))))))</f>
        <v>40</v>
      </c>
      <c r="G25" s="1" t="s">
        <v>37</v>
      </c>
    </row>
    <row r="26" spans="1:7" x14ac:dyDescent="0.3">
      <c r="A26" s="5"/>
      <c r="B26" s="1"/>
      <c r="C26" s="1" t="s">
        <v>38</v>
      </c>
      <c r="D26" s="1"/>
      <c r="E26" s="1">
        <v>13</v>
      </c>
      <c r="F26" s="6">
        <f xml:space="preserve">
IF(Table1[[#This Row],[Point Value]]=1,1,IF(Table1[[#This Row],[Point Value]]=2,2,IF(Table1[[#This Row],[Point Value]]=3,3,IF(Table1[[#This Row],[Point Value]]=5,4, IF(Table1[[#This Row],[Point Value]]=8,5, IF(Table1[[#This Row],[Point Value]]=13,10, IF(Table1[[#This Row],[Point Value]]=20, 15,IF(Table1[[#This Row],[Point Value]]=40,40))))))))</f>
        <v>10</v>
      </c>
      <c r="G26" s="1" t="s">
        <v>37</v>
      </c>
    </row>
    <row r="27" spans="1:7" x14ac:dyDescent="0.3">
      <c r="A27" s="5"/>
      <c r="B27" s="1" t="s">
        <v>39</v>
      </c>
      <c r="C27" s="1" t="s">
        <v>40</v>
      </c>
      <c r="D27" s="1"/>
      <c r="E27" s="1">
        <v>13</v>
      </c>
      <c r="F27" s="6">
        <f xml:space="preserve">
IF(Table1[[#This Row],[Point Value]]=1,1,IF(Table1[[#This Row],[Point Value]]=2,2,IF(Table1[[#This Row],[Point Value]]=3,3,IF(Table1[[#This Row],[Point Value]]=5,4, IF(Table1[[#This Row],[Point Value]]=8,5, IF(Table1[[#This Row],[Point Value]]=13,10, IF(Table1[[#This Row],[Point Value]]=20, 15,IF(Table1[[#This Row],[Point Value]]=40,40))))))))</f>
        <v>10</v>
      </c>
      <c r="G27" s="1" t="s">
        <v>8</v>
      </c>
    </row>
    <row r="28" spans="1:7" x14ac:dyDescent="0.3">
      <c r="A28" s="5"/>
      <c r="B28" s="1"/>
      <c r="C28" s="1" t="s">
        <v>41</v>
      </c>
      <c r="D28" s="1"/>
      <c r="E28" s="1">
        <v>40</v>
      </c>
      <c r="F28" s="6">
        <f xml:space="preserve">
IF(Table1[[#This Row],[Point Value]]=1,1,IF(Table1[[#This Row],[Point Value]]=2,2,IF(Table1[[#This Row],[Point Value]]=3,3,IF(Table1[[#This Row],[Point Value]]=5,4, IF(Table1[[#This Row],[Point Value]]=8,5, IF(Table1[[#This Row],[Point Value]]=13,10, IF(Table1[[#This Row],[Point Value]]=20, 15,IF(Table1[[#This Row],[Point Value]]=40,40))))))))</f>
        <v>40</v>
      </c>
      <c r="G28" s="1" t="s">
        <v>42</v>
      </c>
    </row>
    <row r="29" spans="1:7" x14ac:dyDescent="0.3">
      <c r="A29" s="5"/>
      <c r="B29" s="1"/>
      <c r="C29" s="1" t="s">
        <v>43</v>
      </c>
      <c r="D29" s="1"/>
      <c r="E29" s="1">
        <v>13</v>
      </c>
      <c r="F29" s="6">
        <f xml:space="preserve">
IF(Table1[[#This Row],[Point Value]]=1,1,IF(Table1[[#This Row],[Point Value]]=2,2,IF(Table1[[#This Row],[Point Value]]=3,3,IF(Table1[[#This Row],[Point Value]]=5,4, IF(Table1[[#This Row],[Point Value]]=8,5, IF(Table1[[#This Row],[Point Value]]=13,10, IF(Table1[[#This Row],[Point Value]]=20, 15,IF(Table1[[#This Row],[Point Value]]=40,40))))))))</f>
        <v>10</v>
      </c>
      <c r="G29" s="1" t="s">
        <v>42</v>
      </c>
    </row>
    <row r="30" spans="1:7" x14ac:dyDescent="0.3">
      <c r="A30" s="5"/>
      <c r="B30" s="1"/>
      <c r="C30" s="1" t="s">
        <v>44</v>
      </c>
      <c r="D30" s="1"/>
      <c r="E30" s="1">
        <v>2</v>
      </c>
      <c r="F30" s="6">
        <f xml:space="preserve">
IF(Table1[[#This Row],[Point Value]]=1,1,IF(Table1[[#This Row],[Point Value]]=2,2,IF(Table1[[#This Row],[Point Value]]=3,3,IF(Table1[[#This Row],[Point Value]]=5,4, IF(Table1[[#This Row],[Point Value]]=8,5, IF(Table1[[#This Row],[Point Value]]=13,10, IF(Table1[[#This Row],[Point Value]]=20, 15,IF(Table1[[#This Row],[Point Value]]=40,40))))))))</f>
        <v>2</v>
      </c>
      <c r="G30" s="1" t="s">
        <v>42</v>
      </c>
    </row>
    <row r="31" spans="1:7" x14ac:dyDescent="0.3">
      <c r="A31" s="5"/>
      <c r="B31" s="1" t="s">
        <v>45</v>
      </c>
      <c r="C31" s="1" t="s">
        <v>46</v>
      </c>
      <c r="D31" s="1"/>
      <c r="E31" s="1">
        <v>13</v>
      </c>
      <c r="F31" s="6">
        <f xml:space="preserve">
IF(Table1[[#This Row],[Point Value]]=1,1,IF(Table1[[#This Row],[Point Value]]=2,2,IF(Table1[[#This Row],[Point Value]]=3,3,IF(Table1[[#This Row],[Point Value]]=5,4, IF(Table1[[#This Row],[Point Value]]=8,5, IF(Table1[[#This Row],[Point Value]]=13,10, IF(Table1[[#This Row],[Point Value]]=20, 15,IF(Table1[[#This Row],[Point Value]]=40,40))))))))</f>
        <v>10</v>
      </c>
      <c r="G31" s="1" t="s">
        <v>47</v>
      </c>
    </row>
    <row r="32" spans="1:7" x14ac:dyDescent="0.3">
      <c r="A32" s="5"/>
      <c r="B32" s="1"/>
      <c r="C32" s="1" t="s">
        <v>45</v>
      </c>
      <c r="D32" s="1"/>
      <c r="E32" s="1">
        <v>13</v>
      </c>
      <c r="F32" s="6">
        <f xml:space="preserve">
IF(Table1[[#This Row],[Point Value]]=1,1,IF(Table1[[#This Row],[Point Value]]=2,2,IF(Table1[[#This Row],[Point Value]]=3,3,IF(Table1[[#This Row],[Point Value]]=5,4, IF(Table1[[#This Row],[Point Value]]=8,5, IF(Table1[[#This Row],[Point Value]]=13,10, IF(Table1[[#This Row],[Point Value]]=20, 15,IF(Table1[[#This Row],[Point Value]]=40,40))))))))</f>
        <v>10</v>
      </c>
      <c r="G32" s="1" t="s">
        <v>48</v>
      </c>
    </row>
    <row r="33" spans="1:7" x14ac:dyDescent="0.3">
      <c r="A33" s="5"/>
      <c r="B33" s="1"/>
      <c r="C33" s="1" t="s">
        <v>49</v>
      </c>
      <c r="D33" s="1"/>
      <c r="E33" s="1">
        <v>13</v>
      </c>
      <c r="F33" s="6">
        <f xml:space="preserve">
IF(Table1[[#This Row],[Point Value]]=1,1,IF(Table1[[#This Row],[Point Value]]=2,2,IF(Table1[[#This Row],[Point Value]]=3,3,IF(Table1[[#This Row],[Point Value]]=5,4, IF(Table1[[#This Row],[Point Value]]=8,5, IF(Table1[[#This Row],[Point Value]]=13,10, IF(Table1[[#This Row],[Point Value]]=20, 15,IF(Table1[[#This Row],[Point Value]]=40,40))))))))</f>
        <v>10</v>
      </c>
      <c r="G33" s="1" t="s">
        <v>50</v>
      </c>
    </row>
    <row r="34" spans="1:7" x14ac:dyDescent="0.3">
      <c r="A34" s="5"/>
      <c r="B34" s="1" t="s">
        <v>51</v>
      </c>
      <c r="C34" s="1" t="s">
        <v>52</v>
      </c>
      <c r="D34" s="1"/>
      <c r="E34" s="1">
        <v>1</v>
      </c>
      <c r="F34" s="6">
        <f xml:space="preserve">
IF(Table1[[#This Row],[Point Value]]=1,1,IF(Table1[[#This Row],[Point Value]]=2,2,IF(Table1[[#This Row],[Point Value]]=3,3,IF(Table1[[#This Row],[Point Value]]=5,4, IF(Table1[[#This Row],[Point Value]]=8,5, IF(Table1[[#This Row],[Point Value]]=13,10, IF(Table1[[#This Row],[Point Value]]=20, 15,IF(Table1[[#This Row],[Point Value]]=40,40))))))))</f>
        <v>1</v>
      </c>
      <c r="G34" s="1" t="s">
        <v>50</v>
      </c>
    </row>
    <row r="35" spans="1:7" x14ac:dyDescent="0.3">
      <c r="A35" s="5"/>
      <c r="B35" s="1"/>
      <c r="C35" s="1" t="s">
        <v>53</v>
      </c>
      <c r="D35" s="1"/>
      <c r="E35" s="1">
        <v>8</v>
      </c>
      <c r="F35" s="6">
        <f xml:space="preserve">
IF(Table1[[#This Row],[Point Value]]=1,1,IF(Table1[[#This Row],[Point Value]]=2,2,IF(Table1[[#This Row],[Point Value]]=3,3,IF(Table1[[#This Row],[Point Value]]=5,4, IF(Table1[[#This Row],[Point Value]]=8,5, IF(Table1[[#This Row],[Point Value]]=13,10, IF(Table1[[#This Row],[Point Value]]=20, 15,IF(Table1[[#This Row],[Point Value]]=40,40))))))))</f>
        <v>5</v>
      </c>
      <c r="G35" s="1" t="s">
        <v>50</v>
      </c>
    </row>
    <row r="36" spans="1:7" x14ac:dyDescent="0.3">
      <c r="A36" s="5"/>
      <c r="B36" s="1"/>
      <c r="C36" s="1" t="s">
        <v>54</v>
      </c>
      <c r="D36" s="1"/>
      <c r="E36" s="1">
        <v>1</v>
      </c>
      <c r="F36" s="6">
        <f xml:space="preserve">
IF(Table1[[#This Row],[Point Value]]=1,1,IF(Table1[[#This Row],[Point Value]]=2,2,IF(Table1[[#This Row],[Point Value]]=3,3,IF(Table1[[#This Row],[Point Value]]=5,4, IF(Table1[[#This Row],[Point Value]]=8,5, IF(Table1[[#This Row],[Point Value]]=13,10, IF(Table1[[#This Row],[Point Value]]=20, 15,IF(Table1[[#This Row],[Point Value]]=40,40))))))))</f>
        <v>1</v>
      </c>
      <c r="G36" s="1" t="s">
        <v>50</v>
      </c>
    </row>
    <row r="37" spans="1:7" x14ac:dyDescent="0.3">
      <c r="A37" s="5"/>
      <c r="B37" s="1"/>
      <c r="C37" s="1" t="s">
        <v>55</v>
      </c>
      <c r="D37" s="1"/>
      <c r="E37" s="1">
        <v>3</v>
      </c>
      <c r="F37" s="6">
        <f xml:space="preserve">
IF(Table1[[#This Row],[Point Value]]=1,1,IF(Table1[[#This Row],[Point Value]]=2,2,IF(Table1[[#This Row],[Point Value]]=3,3,IF(Table1[[#This Row],[Point Value]]=5,4, IF(Table1[[#This Row],[Point Value]]=8,5, IF(Table1[[#This Row],[Point Value]]=13,10, IF(Table1[[#This Row],[Point Value]]=20, 15,IF(Table1[[#This Row],[Point Value]]=40,40))))))))</f>
        <v>3</v>
      </c>
      <c r="G37" s="1" t="s">
        <v>50</v>
      </c>
    </row>
    <row r="38" spans="1:7" x14ac:dyDescent="0.3">
      <c r="A38" s="5"/>
      <c r="B38" s="1"/>
      <c r="C38" s="1" t="s">
        <v>56</v>
      </c>
      <c r="D38" s="1"/>
      <c r="E38" s="1">
        <v>8</v>
      </c>
      <c r="F38" s="6">
        <f xml:space="preserve">
IF(Table1[[#This Row],[Point Value]]=1,1,IF(Table1[[#This Row],[Point Value]]=2,2,IF(Table1[[#This Row],[Point Value]]=3,3,IF(Table1[[#This Row],[Point Value]]=5,4, IF(Table1[[#This Row],[Point Value]]=8,5, IF(Table1[[#This Row],[Point Value]]=13,10, IF(Table1[[#This Row],[Point Value]]=20, 15,IF(Table1[[#This Row],[Point Value]]=40,40))))))))</f>
        <v>5</v>
      </c>
      <c r="G38" s="1" t="s">
        <v>50</v>
      </c>
    </row>
    <row r="39" spans="1:7" x14ac:dyDescent="0.3">
      <c r="A39" s="5"/>
      <c r="B39" s="1"/>
      <c r="C39" s="1" t="s">
        <v>57</v>
      </c>
      <c r="D39" s="1"/>
      <c r="E39" s="1">
        <v>8</v>
      </c>
      <c r="F39" s="6">
        <f xml:space="preserve">
IF(Table1[[#This Row],[Point Value]]=1,1,IF(Table1[[#This Row],[Point Value]]=2,2,IF(Table1[[#This Row],[Point Value]]=3,3,IF(Table1[[#This Row],[Point Value]]=5,4, IF(Table1[[#This Row],[Point Value]]=8,5, IF(Table1[[#This Row],[Point Value]]=13,10, IF(Table1[[#This Row],[Point Value]]=20, 15,IF(Table1[[#This Row],[Point Value]]=40,40))))))))</f>
        <v>5</v>
      </c>
      <c r="G39" s="1" t="s">
        <v>50</v>
      </c>
    </row>
    <row r="40" spans="1:7" x14ac:dyDescent="0.3">
      <c r="A40" s="5"/>
      <c r="B40" s="1" t="s">
        <v>58</v>
      </c>
      <c r="C40" s="7" t="s">
        <v>59</v>
      </c>
      <c r="D40" s="1"/>
      <c r="E40" s="1"/>
      <c r="F40" s="6">
        <v>50</v>
      </c>
      <c r="G40" s="1" t="s">
        <v>60</v>
      </c>
    </row>
    <row r="41" spans="1:7" x14ac:dyDescent="0.3">
      <c r="A41" s="5"/>
      <c r="B41" s="1"/>
      <c r="C41" s="8" t="s">
        <v>61</v>
      </c>
      <c r="D41" s="1"/>
      <c r="E41" s="1"/>
      <c r="F41" s="6">
        <v>25</v>
      </c>
      <c r="G41" s="1" t="s">
        <v>62</v>
      </c>
    </row>
    <row r="42" spans="1:7" x14ac:dyDescent="0.3">
      <c r="A42" s="5"/>
      <c r="B42" s="1"/>
      <c r="C42" s="1" t="s">
        <v>63</v>
      </c>
      <c r="D42" s="1"/>
      <c r="E42" s="1"/>
      <c r="F42" s="6">
        <v>60</v>
      </c>
      <c r="G42" s="1" t="s">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D124-08E7-42D3-BCA8-FE183B99017B}">
  <dimension ref="A1:V21"/>
  <sheetViews>
    <sheetView topLeftCell="A8" workbookViewId="0">
      <selection activeCell="C26" sqref="C26"/>
    </sheetView>
  </sheetViews>
  <sheetFormatPr defaultRowHeight="14.4" x14ac:dyDescent="0.3"/>
  <cols>
    <col min="1" max="2" width="14.109375" bestFit="1" customWidth="1"/>
    <col min="3" max="3" width="13.21875" bestFit="1" customWidth="1"/>
    <col min="4" max="4" width="15.21875" bestFit="1" customWidth="1"/>
    <col min="5" max="5" width="3.21875" bestFit="1" customWidth="1"/>
    <col min="6" max="6" width="8.6640625" bestFit="1" customWidth="1"/>
    <col min="7" max="7" width="9.21875" bestFit="1" customWidth="1"/>
    <col min="8" max="9" width="5.109375" bestFit="1" customWidth="1"/>
    <col min="10" max="10" width="11" bestFit="1" customWidth="1"/>
    <col min="11" max="11" width="10.109375" bestFit="1" customWidth="1"/>
    <col min="12" max="12" width="8.77734375" bestFit="1" customWidth="1"/>
    <col min="13" max="13" width="11.88671875" bestFit="1" customWidth="1"/>
    <col min="14" max="14" width="4.44140625" bestFit="1" customWidth="1"/>
    <col min="15" max="15" width="12.109375" bestFit="1" customWidth="1"/>
    <col min="16" max="17" width="3.44140625" bestFit="1" customWidth="1"/>
    <col min="18" max="18" width="14" bestFit="1" customWidth="1"/>
    <col min="19" max="19" width="15" bestFit="1" customWidth="1"/>
    <col min="20" max="20" width="9.6640625" bestFit="1" customWidth="1"/>
    <col min="21" max="21" width="8.77734375" bestFit="1" customWidth="1"/>
    <col min="22" max="22" width="10.77734375" bestFit="1" customWidth="1"/>
  </cols>
  <sheetData>
    <row r="1" spans="1:22" ht="15" thickBot="1" x14ac:dyDescent="0.35">
      <c r="A1" s="305"/>
      <c r="B1" s="368" t="s">
        <v>834</v>
      </c>
      <c r="C1" s="369"/>
      <c r="D1" s="369"/>
      <c r="E1" s="369"/>
      <c r="F1" s="369"/>
      <c r="G1" s="369"/>
      <c r="H1" s="369"/>
      <c r="I1" s="369"/>
      <c r="J1" s="369"/>
      <c r="K1" s="369"/>
      <c r="L1" s="369"/>
      <c r="M1" s="369"/>
      <c r="N1" s="369"/>
      <c r="O1" s="369"/>
      <c r="P1" s="369"/>
      <c r="Q1" s="369"/>
      <c r="R1" s="369"/>
      <c r="S1" s="370"/>
      <c r="T1" s="368" t="s">
        <v>835</v>
      </c>
      <c r="U1" s="369"/>
      <c r="V1" s="370"/>
    </row>
    <row r="2" spans="1:22" ht="15" thickBot="1" x14ac:dyDescent="0.35">
      <c r="A2" s="306" t="s">
        <v>65</v>
      </c>
      <c r="B2" s="307" t="s">
        <v>79</v>
      </c>
      <c r="C2" s="308" t="s">
        <v>80</v>
      </c>
      <c r="D2" s="308" t="s">
        <v>81</v>
      </c>
      <c r="E2" s="308" t="s">
        <v>61</v>
      </c>
      <c r="F2" s="308" t="s">
        <v>82</v>
      </c>
      <c r="G2" s="308" t="s">
        <v>83</v>
      </c>
      <c r="H2" s="308" t="s">
        <v>84</v>
      </c>
      <c r="I2" s="308" t="s">
        <v>85</v>
      </c>
      <c r="J2" s="308" t="s">
        <v>836</v>
      </c>
      <c r="K2" s="308" t="s">
        <v>434</v>
      </c>
      <c r="L2" s="308" t="s">
        <v>86</v>
      </c>
      <c r="M2" s="308" t="s">
        <v>87</v>
      </c>
      <c r="N2" s="308" t="s">
        <v>88</v>
      </c>
      <c r="O2" s="308" t="s">
        <v>89</v>
      </c>
      <c r="P2" s="308" t="s">
        <v>90</v>
      </c>
      <c r="Q2" s="308" t="s">
        <v>91</v>
      </c>
      <c r="R2" s="308" t="s">
        <v>92</v>
      </c>
      <c r="S2" s="309" t="s">
        <v>93</v>
      </c>
      <c r="T2" s="310" t="s">
        <v>837</v>
      </c>
      <c r="U2" s="311" t="s">
        <v>838</v>
      </c>
      <c r="V2" s="312" t="s">
        <v>839</v>
      </c>
    </row>
    <row r="3" spans="1:22" x14ac:dyDescent="0.3">
      <c r="A3" s="313" t="s">
        <v>432</v>
      </c>
      <c r="B3" s="314" t="s">
        <v>840</v>
      </c>
      <c r="C3" s="315" t="s">
        <v>840</v>
      </c>
      <c r="D3" s="315" t="s">
        <v>840</v>
      </c>
      <c r="E3" s="315" t="s">
        <v>840</v>
      </c>
      <c r="F3" s="315" t="s">
        <v>840</v>
      </c>
      <c r="G3" s="315" t="s">
        <v>840</v>
      </c>
      <c r="H3" s="315" t="s">
        <v>840</v>
      </c>
      <c r="I3" s="315" t="s">
        <v>840</v>
      </c>
      <c r="J3" s="315" t="s">
        <v>841</v>
      </c>
      <c r="K3" s="315" t="s">
        <v>841</v>
      </c>
      <c r="L3" s="315" t="s">
        <v>840</v>
      </c>
      <c r="M3" s="315" t="s">
        <v>840</v>
      </c>
      <c r="N3" s="315" t="s">
        <v>840</v>
      </c>
      <c r="O3" s="315" t="s">
        <v>840</v>
      </c>
      <c r="P3" s="315" t="s">
        <v>840</v>
      </c>
      <c r="Q3" s="315" t="s">
        <v>840</v>
      </c>
      <c r="R3" s="315" t="s">
        <v>840</v>
      </c>
      <c r="S3" s="316" t="s">
        <v>840</v>
      </c>
      <c r="T3" s="317">
        <v>5520</v>
      </c>
      <c r="U3" s="318">
        <v>690</v>
      </c>
      <c r="V3" s="319">
        <f>U3/20</f>
        <v>34.5</v>
      </c>
    </row>
    <row r="4" spans="1:22" x14ac:dyDescent="0.3">
      <c r="A4" s="320" t="s">
        <v>842</v>
      </c>
      <c r="B4" s="321" t="s">
        <v>840</v>
      </c>
      <c r="C4" s="322" t="s">
        <v>840</v>
      </c>
      <c r="D4" s="322" t="s">
        <v>840</v>
      </c>
      <c r="E4" s="322" t="s">
        <v>840</v>
      </c>
      <c r="F4" s="322" t="s">
        <v>840</v>
      </c>
      <c r="G4" s="322" t="s">
        <v>840</v>
      </c>
      <c r="H4" s="322" t="s">
        <v>840</v>
      </c>
      <c r="I4" s="322" t="s">
        <v>840</v>
      </c>
      <c r="J4" s="322" t="s">
        <v>840</v>
      </c>
      <c r="K4" s="322" t="s">
        <v>840</v>
      </c>
      <c r="L4" s="322" t="s">
        <v>840</v>
      </c>
      <c r="M4" s="322" t="s">
        <v>840</v>
      </c>
      <c r="N4" s="322" t="s">
        <v>840</v>
      </c>
      <c r="O4" s="322" t="s">
        <v>840</v>
      </c>
      <c r="P4" s="322" t="s">
        <v>840</v>
      </c>
      <c r="Q4" s="322" t="s">
        <v>840</v>
      </c>
      <c r="R4" s="322" t="s">
        <v>840</v>
      </c>
      <c r="S4" s="323" t="s">
        <v>840</v>
      </c>
      <c r="T4" s="324">
        <v>5936</v>
      </c>
      <c r="U4" s="325">
        <v>742</v>
      </c>
      <c r="V4" s="326">
        <v>37.1</v>
      </c>
    </row>
    <row r="5" spans="1:22" x14ac:dyDescent="0.3">
      <c r="A5" s="320" t="s">
        <v>101</v>
      </c>
      <c r="B5" s="321" t="s">
        <v>840</v>
      </c>
      <c r="C5" s="322" t="s">
        <v>840</v>
      </c>
      <c r="D5" s="322" t="s">
        <v>840</v>
      </c>
      <c r="E5" s="322" t="s">
        <v>840</v>
      </c>
      <c r="F5" s="322" t="s">
        <v>840</v>
      </c>
      <c r="G5" s="322" t="s">
        <v>840</v>
      </c>
      <c r="H5" s="322" t="s">
        <v>840</v>
      </c>
      <c r="I5" s="322" t="s">
        <v>840</v>
      </c>
      <c r="J5" s="322" t="s">
        <v>841</v>
      </c>
      <c r="K5" s="322" t="s">
        <v>841</v>
      </c>
      <c r="L5" s="322" t="s">
        <v>840</v>
      </c>
      <c r="M5" s="322" t="s">
        <v>840</v>
      </c>
      <c r="N5" s="322" t="s">
        <v>840</v>
      </c>
      <c r="O5" s="322" t="s">
        <v>840</v>
      </c>
      <c r="P5" s="322" t="s">
        <v>840</v>
      </c>
      <c r="Q5" s="322" t="s">
        <v>840</v>
      </c>
      <c r="R5" s="322" t="s">
        <v>840</v>
      </c>
      <c r="S5" s="323" t="s">
        <v>840</v>
      </c>
      <c r="T5" s="324">
        <v>4976</v>
      </c>
      <c r="U5" s="325">
        <v>622</v>
      </c>
      <c r="V5" s="326">
        <v>31</v>
      </c>
    </row>
    <row r="6" spans="1:22" x14ac:dyDescent="0.3">
      <c r="A6" s="320" t="s">
        <v>102</v>
      </c>
      <c r="B6" s="321" t="s">
        <v>840</v>
      </c>
      <c r="C6" s="322" t="s">
        <v>840</v>
      </c>
      <c r="D6" s="322" t="s">
        <v>840</v>
      </c>
      <c r="E6" s="322" t="s">
        <v>840</v>
      </c>
      <c r="F6" s="322" t="s">
        <v>840</v>
      </c>
      <c r="G6" s="322" t="s">
        <v>840</v>
      </c>
      <c r="H6" s="322" t="s">
        <v>840</v>
      </c>
      <c r="I6" s="322" t="s">
        <v>840</v>
      </c>
      <c r="J6" s="322" t="s">
        <v>841</v>
      </c>
      <c r="K6" s="322" t="s">
        <v>841</v>
      </c>
      <c r="L6" s="322" t="s">
        <v>840</v>
      </c>
      <c r="M6" s="322" t="s">
        <v>840</v>
      </c>
      <c r="N6" s="322" t="s">
        <v>840</v>
      </c>
      <c r="O6" s="322" t="s">
        <v>840</v>
      </c>
      <c r="P6" s="322" t="s">
        <v>840</v>
      </c>
      <c r="Q6" s="322" t="s">
        <v>840</v>
      </c>
      <c r="R6" s="322" t="s">
        <v>840</v>
      </c>
      <c r="S6" s="323" t="s">
        <v>840</v>
      </c>
      <c r="T6" s="324">
        <v>12400</v>
      </c>
      <c r="U6" s="325">
        <v>1550</v>
      </c>
      <c r="V6" s="326">
        <v>78</v>
      </c>
    </row>
    <row r="7" spans="1:22" x14ac:dyDescent="0.3">
      <c r="A7" s="320" t="s">
        <v>843</v>
      </c>
      <c r="B7" s="321" t="s">
        <v>841</v>
      </c>
      <c r="C7" s="322" t="s">
        <v>841</v>
      </c>
      <c r="D7" s="322" t="s">
        <v>840</v>
      </c>
      <c r="E7" s="322" t="s">
        <v>840</v>
      </c>
      <c r="F7" s="322" t="s">
        <v>841</v>
      </c>
      <c r="G7" s="322" t="s">
        <v>840</v>
      </c>
      <c r="H7" s="322" t="s">
        <v>840</v>
      </c>
      <c r="I7" s="322" t="s">
        <v>841</v>
      </c>
      <c r="J7" s="322" t="s">
        <v>841</v>
      </c>
      <c r="K7" s="322" t="s">
        <v>841</v>
      </c>
      <c r="L7" s="322" t="s">
        <v>841</v>
      </c>
      <c r="M7" s="322" t="s">
        <v>840</v>
      </c>
      <c r="N7" s="322" t="s">
        <v>841</v>
      </c>
      <c r="O7" s="322" t="s">
        <v>841</v>
      </c>
      <c r="P7" s="322" t="s">
        <v>841</v>
      </c>
      <c r="Q7" s="322" t="s">
        <v>841</v>
      </c>
      <c r="R7" s="322" t="s">
        <v>841</v>
      </c>
      <c r="S7" s="323" t="s">
        <v>841</v>
      </c>
      <c r="T7" s="324">
        <v>680</v>
      </c>
      <c r="U7" s="325">
        <f>T7/8</f>
        <v>85</v>
      </c>
      <c r="V7" s="326">
        <f>T7/200</f>
        <v>3.4</v>
      </c>
    </row>
    <row r="8" spans="1:22" x14ac:dyDescent="0.3">
      <c r="A8" s="320" t="s">
        <v>71</v>
      </c>
      <c r="B8" s="321" t="s">
        <v>841</v>
      </c>
      <c r="C8" s="322" t="s">
        <v>841</v>
      </c>
      <c r="D8" s="322" t="s">
        <v>840</v>
      </c>
      <c r="E8" s="322" t="s">
        <v>840</v>
      </c>
      <c r="F8" s="322" t="s">
        <v>841</v>
      </c>
      <c r="G8" s="322" t="s">
        <v>840</v>
      </c>
      <c r="H8" s="322" t="s">
        <v>840</v>
      </c>
      <c r="I8" s="322" t="s">
        <v>840</v>
      </c>
      <c r="J8" s="322" t="s">
        <v>841</v>
      </c>
      <c r="K8" s="322" t="s">
        <v>841</v>
      </c>
      <c r="L8" s="322" t="s">
        <v>841</v>
      </c>
      <c r="M8" s="322" t="s">
        <v>840</v>
      </c>
      <c r="N8" s="322" t="s">
        <v>841</v>
      </c>
      <c r="O8" s="322" t="s">
        <v>841</v>
      </c>
      <c r="P8" s="322" t="s">
        <v>841</v>
      </c>
      <c r="Q8" s="322" t="s">
        <v>841</v>
      </c>
      <c r="R8" s="322" t="s">
        <v>841</v>
      </c>
      <c r="S8" s="323" t="s">
        <v>841</v>
      </c>
      <c r="T8" s="324">
        <v>992.0625</v>
      </c>
      <c r="U8" s="325">
        <v>90.125</v>
      </c>
      <c r="V8" s="326">
        <f t="shared" ref="V8:V9" si="0">T8/200</f>
        <v>4.9603124999999997</v>
      </c>
    </row>
    <row r="9" spans="1:22" ht="15" thickBot="1" x14ac:dyDescent="0.35">
      <c r="A9" s="327" t="s">
        <v>73</v>
      </c>
      <c r="B9" s="328" t="s">
        <v>841</v>
      </c>
      <c r="C9" s="329" t="s">
        <v>841</v>
      </c>
      <c r="D9" s="329" t="s">
        <v>840</v>
      </c>
      <c r="E9" s="329" t="s">
        <v>840</v>
      </c>
      <c r="F9" s="329" t="s">
        <v>841</v>
      </c>
      <c r="G9" s="329" t="s">
        <v>840</v>
      </c>
      <c r="H9" s="329" t="s">
        <v>840</v>
      </c>
      <c r="I9" s="329" t="s">
        <v>841</v>
      </c>
      <c r="J9" s="329" t="s">
        <v>841</v>
      </c>
      <c r="K9" s="329" t="s">
        <v>841</v>
      </c>
      <c r="L9" s="329" t="s">
        <v>841</v>
      </c>
      <c r="M9" s="329" t="s">
        <v>840</v>
      </c>
      <c r="N9" s="329" t="s">
        <v>841</v>
      </c>
      <c r="O9" s="329" t="s">
        <v>841</v>
      </c>
      <c r="P9" s="329" t="s">
        <v>841</v>
      </c>
      <c r="Q9" s="329" t="s">
        <v>841</v>
      </c>
      <c r="R9" s="329" t="s">
        <v>841</v>
      </c>
      <c r="S9" s="330" t="s">
        <v>841</v>
      </c>
      <c r="T9" s="331">
        <v>1208</v>
      </c>
      <c r="U9" s="332">
        <f>T9/8</f>
        <v>151</v>
      </c>
      <c r="V9" s="333">
        <f t="shared" si="0"/>
        <v>6.04</v>
      </c>
    </row>
    <row r="11" spans="1:22" ht="15" thickBot="1" x14ac:dyDescent="0.35"/>
    <row r="12" spans="1:22" ht="15" thickBot="1" x14ac:dyDescent="0.35">
      <c r="A12" s="334" t="s">
        <v>65</v>
      </c>
      <c r="B12" s="335" t="s">
        <v>837</v>
      </c>
      <c r="C12" s="336" t="s">
        <v>838</v>
      </c>
      <c r="D12" s="337" t="s">
        <v>839</v>
      </c>
    </row>
    <row r="13" spans="1:22" x14ac:dyDescent="0.3">
      <c r="A13" s="257" t="s">
        <v>432</v>
      </c>
      <c r="B13" s="359">
        <v>5520</v>
      </c>
      <c r="C13" s="360">
        <v>690</v>
      </c>
      <c r="D13" s="359">
        <f>C13/20</f>
        <v>34.5</v>
      </c>
    </row>
    <row r="14" spans="1:22" x14ac:dyDescent="0.3">
      <c r="A14" s="19" t="s">
        <v>842</v>
      </c>
      <c r="B14" s="361">
        <v>5936</v>
      </c>
      <c r="C14" s="362">
        <v>742</v>
      </c>
      <c r="D14" s="361">
        <v>37.1</v>
      </c>
    </row>
    <row r="15" spans="1:22" x14ac:dyDescent="0.3">
      <c r="A15" s="19" t="s">
        <v>101</v>
      </c>
      <c r="B15" s="361">
        <v>4976</v>
      </c>
      <c r="C15" s="362">
        <v>622</v>
      </c>
      <c r="D15" s="361">
        <v>31</v>
      </c>
    </row>
    <row r="16" spans="1:22" x14ac:dyDescent="0.3">
      <c r="A16" s="19" t="s">
        <v>102</v>
      </c>
      <c r="B16" s="361">
        <v>12400</v>
      </c>
      <c r="C16" s="362">
        <v>1550</v>
      </c>
      <c r="D16" s="361">
        <v>78</v>
      </c>
    </row>
    <row r="17" spans="1:4" x14ac:dyDescent="0.3">
      <c r="A17" s="19" t="s">
        <v>843</v>
      </c>
      <c r="B17" s="361">
        <v>921</v>
      </c>
      <c r="C17" s="362">
        <v>115.125</v>
      </c>
      <c r="D17" s="361">
        <v>5.7562499999999996</v>
      </c>
    </row>
    <row r="18" spans="1:4" x14ac:dyDescent="0.3">
      <c r="A18" s="19" t="s">
        <v>71</v>
      </c>
      <c r="B18" s="361">
        <v>1647</v>
      </c>
      <c r="C18" s="362">
        <v>205.875</v>
      </c>
      <c r="D18" s="361">
        <v>10.293750000000001</v>
      </c>
    </row>
    <row r="19" spans="1:4" ht="15" thickBot="1" x14ac:dyDescent="0.35">
      <c r="A19" s="267" t="s">
        <v>73</v>
      </c>
      <c r="B19" s="363">
        <v>2728</v>
      </c>
      <c r="C19" s="364">
        <v>341</v>
      </c>
      <c r="D19" s="363">
        <v>17.05</v>
      </c>
    </row>
    <row r="20" spans="1:4" ht="15" thickBot="1" x14ac:dyDescent="0.35">
      <c r="A20" s="338" t="s">
        <v>94</v>
      </c>
      <c r="B20" s="365">
        <f>SUM(B13:B19)</f>
        <v>34128</v>
      </c>
      <c r="C20" s="366">
        <f t="shared" ref="C20:D20" si="1">SUM(C13:C19)</f>
        <v>4266</v>
      </c>
      <c r="D20" s="367">
        <f t="shared" si="1"/>
        <v>213.7</v>
      </c>
    </row>
    <row r="21" spans="1:4" x14ac:dyDescent="0.3">
      <c r="A21" s="304"/>
      <c r="B21" s="339"/>
      <c r="C21" s="339"/>
    </row>
  </sheetData>
  <mergeCells count="2">
    <mergeCell ref="B1:S1"/>
    <mergeCell ref="T1:V1"/>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DC9A9-5A67-4AB2-98CF-D298BE771F88}">
  <dimension ref="A1:E8"/>
  <sheetViews>
    <sheetView workbookViewId="0">
      <selection activeCell="G11" sqref="G11"/>
    </sheetView>
  </sheetViews>
  <sheetFormatPr defaultRowHeight="14.4" x14ac:dyDescent="0.3"/>
  <cols>
    <col min="1" max="1" width="31.33203125" bestFit="1" customWidth="1"/>
    <col min="2" max="2" width="11" bestFit="1" customWidth="1"/>
    <col min="3" max="3" width="5.6640625" bestFit="1" customWidth="1"/>
    <col min="4" max="4" width="9.33203125" bestFit="1" customWidth="1"/>
    <col min="5" max="5" width="10.33203125" bestFit="1" customWidth="1"/>
    <col min="7" max="7" width="29.88671875" bestFit="1" customWidth="1"/>
    <col min="8" max="8" width="17.21875" bestFit="1" customWidth="1"/>
    <col min="9" max="9" width="11.6640625" bestFit="1" customWidth="1"/>
    <col min="10" max="10" width="15.33203125" bestFit="1" customWidth="1"/>
    <col min="11" max="11" width="16.44140625" bestFit="1" customWidth="1"/>
  </cols>
  <sheetData>
    <row r="1" spans="1:5" ht="15" thickBot="1" x14ac:dyDescent="0.35">
      <c r="A1" s="182" t="s">
        <v>65</v>
      </c>
      <c r="B1" s="183" t="s">
        <v>2</v>
      </c>
      <c r="C1" s="183" t="s">
        <v>66</v>
      </c>
      <c r="D1" s="183" t="s">
        <v>67</v>
      </c>
      <c r="E1" s="184" t="s">
        <v>68</v>
      </c>
    </row>
    <row r="2" spans="1:5" ht="15" thickBot="1" x14ac:dyDescent="0.35">
      <c r="A2" s="182" t="s">
        <v>69</v>
      </c>
      <c r="B2" s="183">
        <v>36</v>
      </c>
      <c r="C2" s="183">
        <v>60</v>
      </c>
      <c r="D2" s="183">
        <v>8</v>
      </c>
      <c r="E2" s="184">
        <f>'All apps Estimation Summary'!B23</f>
        <v>82</v>
      </c>
    </row>
    <row r="3" spans="1:5" ht="15" thickBot="1" x14ac:dyDescent="0.35">
      <c r="A3" s="182" t="s">
        <v>70</v>
      </c>
      <c r="B3" s="183">
        <v>16</v>
      </c>
      <c r="C3" s="183">
        <v>82</v>
      </c>
      <c r="D3" s="183">
        <v>44</v>
      </c>
      <c r="E3" s="184">
        <v>35</v>
      </c>
    </row>
    <row r="4" spans="1:5" ht="15" thickBot="1" x14ac:dyDescent="0.35">
      <c r="A4" s="182" t="s">
        <v>72</v>
      </c>
      <c r="B4" s="183">
        <v>24</v>
      </c>
      <c r="C4" s="183">
        <v>95</v>
      </c>
      <c r="D4" s="183">
        <v>125</v>
      </c>
      <c r="E4" s="184">
        <v>120</v>
      </c>
    </row>
    <row r="5" spans="1:5" ht="15" thickBot="1" x14ac:dyDescent="0.35">
      <c r="A5" s="182" t="s">
        <v>74</v>
      </c>
      <c r="B5" s="183">
        <v>13</v>
      </c>
      <c r="C5" s="183">
        <v>49</v>
      </c>
      <c r="D5" s="183">
        <v>5</v>
      </c>
      <c r="E5" s="184">
        <f>Table9[[#Totals],[Web Forms]]</f>
        <v>22</v>
      </c>
    </row>
    <row r="6" spans="1:5" ht="15" thickBot="1" x14ac:dyDescent="0.35">
      <c r="A6" s="182" t="s">
        <v>71</v>
      </c>
      <c r="B6" s="183">
        <f>BBS!C159</f>
        <v>24</v>
      </c>
      <c r="C6" s="183">
        <f>BBS!D159</f>
        <v>90</v>
      </c>
      <c r="D6" s="183">
        <f>BBS!E159</f>
        <v>68</v>
      </c>
      <c r="E6" s="184">
        <f>BBS!A159</f>
        <v>37</v>
      </c>
    </row>
    <row r="7" spans="1:5" ht="15" thickBot="1" x14ac:dyDescent="0.35">
      <c r="A7" s="182" t="s">
        <v>73</v>
      </c>
      <c r="B7" s="183">
        <f>Cadence!C34</f>
        <v>15</v>
      </c>
      <c r="C7" s="183">
        <f>Cadence!D34</f>
        <v>27</v>
      </c>
      <c r="D7" s="183">
        <f>Cadence!E34</f>
        <v>18</v>
      </c>
      <c r="E7" s="184">
        <f>Cadence!A34</f>
        <v>23</v>
      </c>
    </row>
    <row r="8" spans="1:5" ht="15" thickBot="1" x14ac:dyDescent="0.35">
      <c r="A8" s="182" t="s">
        <v>75</v>
      </c>
      <c r="B8" s="183">
        <f>'Risk &amp; Insurance'!C59</f>
        <v>5</v>
      </c>
      <c r="C8" s="183">
        <f>'Risk &amp; Insurance'!D59</f>
        <v>22</v>
      </c>
      <c r="D8" s="183">
        <f>'Risk &amp; Insurance'!E59</f>
        <v>10</v>
      </c>
      <c r="E8" s="184">
        <f>'Risk &amp; Insurance'!A59</f>
        <v>13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4944-8AE1-4EEA-85E9-F3BA21C36E18}">
  <dimension ref="A1:V23"/>
  <sheetViews>
    <sheetView workbookViewId="0">
      <selection activeCell="T19" sqref="T19:V19"/>
    </sheetView>
  </sheetViews>
  <sheetFormatPr defaultColWidth="15.33203125" defaultRowHeight="14.4" x14ac:dyDescent="0.3"/>
  <cols>
    <col min="1" max="1" width="18.6640625" bestFit="1" customWidth="1"/>
    <col min="2" max="2" width="7.33203125" bestFit="1" customWidth="1"/>
    <col min="3" max="3" width="8" bestFit="1" customWidth="1"/>
    <col min="4" max="5" width="7.33203125" bestFit="1" customWidth="1"/>
    <col min="6" max="6" width="8" bestFit="1" customWidth="1"/>
    <col min="7" max="8" width="7.33203125" bestFit="1" customWidth="1"/>
    <col min="9" max="9" width="8" bestFit="1" customWidth="1"/>
    <col min="10" max="11" width="7.33203125" bestFit="1" customWidth="1"/>
    <col min="12" max="12" width="8" bestFit="1" customWidth="1"/>
    <col min="13" max="14" width="7.33203125" bestFit="1" customWidth="1"/>
    <col min="15" max="16" width="8" bestFit="1" customWidth="1"/>
    <col min="17" max="17" width="7.33203125" bestFit="1" customWidth="1"/>
    <col min="18" max="19" width="8" bestFit="1" customWidth="1"/>
    <col min="20" max="20" width="7.33203125" bestFit="1" customWidth="1"/>
    <col min="21" max="22" width="8" bestFit="1" customWidth="1"/>
  </cols>
  <sheetData>
    <row r="1" spans="1:22" ht="29.4" thickBot="1" x14ac:dyDescent="0.35">
      <c r="A1" s="352" t="s">
        <v>886</v>
      </c>
      <c r="B1" s="371" t="s">
        <v>69</v>
      </c>
      <c r="C1" s="377"/>
      <c r="D1" s="378"/>
      <c r="E1" s="371" t="s">
        <v>70</v>
      </c>
      <c r="F1" s="377"/>
      <c r="G1" s="378"/>
      <c r="H1" s="371" t="s">
        <v>888</v>
      </c>
      <c r="I1" s="372"/>
      <c r="J1" s="373"/>
      <c r="K1" s="371" t="s">
        <v>887</v>
      </c>
      <c r="L1" s="372"/>
      <c r="M1" s="373"/>
      <c r="N1" s="379" t="s">
        <v>844</v>
      </c>
      <c r="O1" s="372"/>
      <c r="P1" s="373"/>
      <c r="Q1" s="379" t="s">
        <v>73</v>
      </c>
      <c r="R1" s="372"/>
      <c r="S1" s="373"/>
      <c r="T1" s="379" t="s">
        <v>71</v>
      </c>
      <c r="U1" s="372"/>
      <c r="V1" s="373"/>
    </row>
    <row r="2" spans="1:22" s="118" customFormat="1" ht="29.4" thickBot="1" x14ac:dyDescent="0.35">
      <c r="A2" s="353" t="s">
        <v>6</v>
      </c>
      <c r="B2" s="354" t="s">
        <v>76</v>
      </c>
      <c r="C2" s="354" t="s">
        <v>77</v>
      </c>
      <c r="D2" s="354" t="s">
        <v>78</v>
      </c>
      <c r="E2" s="354" t="s">
        <v>76</v>
      </c>
      <c r="F2" s="354" t="s">
        <v>77</v>
      </c>
      <c r="G2" s="354" t="s">
        <v>78</v>
      </c>
      <c r="H2" s="354" t="s">
        <v>76</v>
      </c>
      <c r="I2" s="354" t="s">
        <v>77</v>
      </c>
      <c r="J2" s="354" t="s">
        <v>78</v>
      </c>
      <c r="K2" s="354" t="s">
        <v>76</v>
      </c>
      <c r="L2" s="354" t="s">
        <v>77</v>
      </c>
      <c r="M2" s="355" t="s">
        <v>78</v>
      </c>
      <c r="N2" s="354" t="s">
        <v>76</v>
      </c>
      <c r="O2" s="354" t="s">
        <v>77</v>
      </c>
      <c r="P2" s="354" t="s">
        <v>78</v>
      </c>
      <c r="Q2" s="354" t="s">
        <v>76</v>
      </c>
      <c r="R2" s="354" t="s">
        <v>77</v>
      </c>
      <c r="S2" s="354" t="s">
        <v>78</v>
      </c>
      <c r="T2" s="354" t="s">
        <v>76</v>
      </c>
      <c r="U2" s="354" t="s">
        <v>77</v>
      </c>
      <c r="V2" s="355" t="s">
        <v>78</v>
      </c>
    </row>
    <row r="3" spans="1:22" ht="15" thickBot="1" x14ac:dyDescent="0.35">
      <c r="A3" s="132" t="s">
        <v>79</v>
      </c>
      <c r="B3" s="132">
        <f>C3*8</f>
        <v>56</v>
      </c>
      <c r="C3" s="132">
        <v>7</v>
      </c>
      <c r="D3" s="133">
        <f>C3/20</f>
        <v>0.35</v>
      </c>
      <c r="E3" s="132">
        <f>F3*8</f>
        <v>56</v>
      </c>
      <c r="F3" s="132">
        <v>7</v>
      </c>
      <c r="G3" s="133">
        <f>F3/20</f>
        <v>0.35</v>
      </c>
      <c r="H3" s="132">
        <f>I3*8</f>
        <v>120</v>
      </c>
      <c r="I3" s="132">
        <v>15</v>
      </c>
      <c r="J3" s="133">
        <f>I3/20</f>
        <v>0.75</v>
      </c>
      <c r="K3" s="132">
        <f>L3*8</f>
        <v>56</v>
      </c>
      <c r="L3" s="132">
        <v>7</v>
      </c>
      <c r="M3" s="133">
        <f>L3/20</f>
        <v>0.35</v>
      </c>
      <c r="N3" s="132"/>
      <c r="O3" s="133"/>
      <c r="P3" s="133"/>
      <c r="Q3" s="132"/>
      <c r="R3" s="133"/>
      <c r="S3" s="133"/>
      <c r="T3" s="132"/>
      <c r="U3" s="133"/>
      <c r="V3" s="133"/>
    </row>
    <row r="4" spans="1:22" ht="15" thickBot="1" x14ac:dyDescent="0.35">
      <c r="A4" s="132" t="s">
        <v>80</v>
      </c>
      <c r="B4" s="132">
        <f>C4*8</f>
        <v>56</v>
      </c>
      <c r="C4" s="132">
        <v>7</v>
      </c>
      <c r="D4" s="133">
        <f>C4/20</f>
        <v>0.35</v>
      </c>
      <c r="E4" s="132">
        <f>F4*8</f>
        <v>56</v>
      </c>
      <c r="F4" s="132">
        <v>7</v>
      </c>
      <c r="G4" s="133">
        <f>F4/20</f>
        <v>0.35</v>
      </c>
      <c r="H4" s="132">
        <f>I4*8</f>
        <v>120</v>
      </c>
      <c r="I4" s="132">
        <v>15</v>
      </c>
      <c r="J4" s="133">
        <f>I4/20</f>
        <v>0.75</v>
      </c>
      <c r="K4" s="132">
        <f>L4*8</f>
        <v>56</v>
      </c>
      <c r="L4" s="132">
        <v>7</v>
      </c>
      <c r="M4" s="133">
        <f>L4/20</f>
        <v>0.35</v>
      </c>
      <c r="N4" s="132"/>
      <c r="O4" s="133"/>
      <c r="P4" s="133"/>
      <c r="Q4" s="132"/>
      <c r="R4" s="133"/>
      <c r="S4" s="133"/>
      <c r="T4" s="132"/>
      <c r="U4" s="133"/>
      <c r="V4" s="133"/>
    </row>
    <row r="5" spans="1:22" ht="15" thickBot="1" x14ac:dyDescent="0.35">
      <c r="A5" s="132" t="s">
        <v>81</v>
      </c>
      <c r="B5" s="132">
        <f>C5*8</f>
        <v>272</v>
      </c>
      <c r="C5" s="132">
        <v>34</v>
      </c>
      <c r="D5" s="133">
        <f>ROUND(C5/20, 0)</f>
        <v>2</v>
      </c>
      <c r="E5" s="132">
        <f>F5*8</f>
        <v>336</v>
      </c>
      <c r="F5" s="132">
        <v>42</v>
      </c>
      <c r="G5" s="133">
        <f>ROUND(F5/20,0)</f>
        <v>2</v>
      </c>
      <c r="H5" s="132">
        <f>I5*8</f>
        <v>712</v>
      </c>
      <c r="I5" s="133">
        <v>89</v>
      </c>
      <c r="J5" s="133">
        <f>ROUND(I5/20,0)</f>
        <v>4</v>
      </c>
      <c r="K5" s="132">
        <f>L5*8</f>
        <v>256</v>
      </c>
      <c r="L5" s="133">
        <v>32</v>
      </c>
      <c r="M5" s="133">
        <f>ROUND(L5/20, 0)</f>
        <v>2</v>
      </c>
      <c r="N5" s="132">
        <v>111</v>
      </c>
      <c r="O5" s="133">
        <f>N5/8</f>
        <v>13.875</v>
      </c>
      <c r="P5" s="133">
        <f>O5/20</f>
        <v>0.69374999999999998</v>
      </c>
      <c r="Q5" s="132">
        <v>183</v>
      </c>
      <c r="R5" s="133">
        <f t="shared" ref="R5:R12" si="0">Q5/8</f>
        <v>22.875</v>
      </c>
      <c r="S5" s="133">
        <f>R5/20</f>
        <v>1.14375</v>
      </c>
      <c r="T5" s="132">
        <v>253</v>
      </c>
      <c r="U5" s="133">
        <f t="shared" ref="U5:U12" si="1">T5/8</f>
        <v>31.625</v>
      </c>
      <c r="V5" s="133">
        <f>U5/20</f>
        <v>1.58125</v>
      </c>
    </row>
    <row r="6" spans="1:22" ht="15" thickBot="1" x14ac:dyDescent="0.35">
      <c r="A6" s="132" t="s">
        <v>61</v>
      </c>
      <c r="B6" s="132">
        <f t="shared" ref="B6:B18" si="2">C6*8</f>
        <v>272</v>
      </c>
      <c r="C6" s="132">
        <v>34</v>
      </c>
      <c r="D6" s="133">
        <f t="shared" ref="D6:D18" si="3">ROUND(C6/20, 0)</f>
        <v>2</v>
      </c>
      <c r="E6" s="132">
        <f t="shared" ref="E6:E18" si="4">F6*8</f>
        <v>344</v>
      </c>
      <c r="F6" s="132">
        <v>43</v>
      </c>
      <c r="G6" s="133">
        <f t="shared" ref="G6:G18" si="5">ROUND(F6/20,0)</f>
        <v>2</v>
      </c>
      <c r="H6" s="132">
        <f t="shared" ref="H6:H18" si="6">I6*8</f>
        <v>712</v>
      </c>
      <c r="I6" s="133">
        <v>89</v>
      </c>
      <c r="J6" s="133">
        <f t="shared" ref="J6:J19" si="7">ROUND(I6/20,0)</f>
        <v>4</v>
      </c>
      <c r="K6" s="132">
        <f t="shared" ref="K6:K18" si="8">L6*8</f>
        <v>256</v>
      </c>
      <c r="L6" s="133">
        <v>32</v>
      </c>
      <c r="M6" s="133">
        <f>ROUND(L6/20, 0)</f>
        <v>2</v>
      </c>
      <c r="N6" s="132">
        <v>69</v>
      </c>
      <c r="O6" s="133">
        <f t="shared" ref="O6:O12" si="9">N6/8</f>
        <v>8.625</v>
      </c>
      <c r="P6" s="133">
        <f>O6/20</f>
        <v>0.43125000000000002</v>
      </c>
      <c r="Q6" s="132">
        <v>195</v>
      </c>
      <c r="R6" s="133">
        <f t="shared" si="0"/>
        <v>24.375</v>
      </c>
      <c r="S6" s="133">
        <f>R6/20</f>
        <v>1.21875</v>
      </c>
      <c r="T6" s="132">
        <v>255</v>
      </c>
      <c r="U6" s="133">
        <f t="shared" si="1"/>
        <v>31.875</v>
      </c>
      <c r="V6" s="133">
        <f>U6/20</f>
        <v>1.59375</v>
      </c>
    </row>
    <row r="7" spans="1:22" ht="15" thickBot="1" x14ac:dyDescent="0.35">
      <c r="A7" s="132" t="s">
        <v>82</v>
      </c>
      <c r="B7" s="132">
        <f t="shared" si="2"/>
        <v>256</v>
      </c>
      <c r="C7" s="132">
        <v>32</v>
      </c>
      <c r="D7" s="133">
        <f t="shared" si="3"/>
        <v>2</v>
      </c>
      <c r="E7" s="132">
        <f t="shared" si="4"/>
        <v>344</v>
      </c>
      <c r="F7" s="132">
        <v>43</v>
      </c>
      <c r="G7" s="133">
        <f t="shared" si="5"/>
        <v>2</v>
      </c>
      <c r="H7" s="132">
        <f t="shared" si="6"/>
        <v>720</v>
      </c>
      <c r="I7" s="133">
        <v>90</v>
      </c>
      <c r="J7" s="133">
        <f t="shared" si="7"/>
        <v>5</v>
      </c>
      <c r="K7" s="132">
        <f t="shared" si="8"/>
        <v>296</v>
      </c>
      <c r="L7" s="133">
        <v>37</v>
      </c>
      <c r="M7" s="133">
        <f t="shared" ref="M7:M18" si="10">ROUND(L7/20, 0)</f>
        <v>2</v>
      </c>
      <c r="N7" s="132"/>
      <c r="O7" s="133"/>
      <c r="P7" s="133"/>
      <c r="Q7" s="132"/>
      <c r="R7" s="133"/>
      <c r="S7" s="133"/>
      <c r="T7" s="132"/>
      <c r="U7" s="133"/>
      <c r="V7" s="133"/>
    </row>
    <row r="8" spans="1:22" ht="15" thickBot="1" x14ac:dyDescent="0.35">
      <c r="A8" s="132" t="s">
        <v>83</v>
      </c>
      <c r="B8" s="132">
        <f t="shared" si="2"/>
        <v>440</v>
      </c>
      <c r="C8" s="132">
        <v>55</v>
      </c>
      <c r="D8" s="133">
        <f t="shared" si="3"/>
        <v>3</v>
      </c>
      <c r="E8" s="132">
        <f t="shared" si="4"/>
        <v>448</v>
      </c>
      <c r="F8" s="132">
        <v>56</v>
      </c>
      <c r="G8" s="133">
        <f t="shared" si="5"/>
        <v>3</v>
      </c>
      <c r="H8" s="132">
        <f t="shared" si="6"/>
        <v>1120</v>
      </c>
      <c r="I8" s="133">
        <v>140</v>
      </c>
      <c r="J8" s="133">
        <f t="shared" si="7"/>
        <v>7</v>
      </c>
      <c r="K8" s="132">
        <f t="shared" si="8"/>
        <v>408</v>
      </c>
      <c r="L8" s="133">
        <v>51</v>
      </c>
      <c r="M8" s="133">
        <f t="shared" si="10"/>
        <v>3</v>
      </c>
      <c r="N8" s="132"/>
      <c r="O8" s="133"/>
      <c r="P8" s="133"/>
      <c r="Q8" s="132"/>
      <c r="R8" s="133"/>
      <c r="S8" s="133"/>
      <c r="T8" s="132"/>
      <c r="U8" s="133"/>
      <c r="V8" s="133"/>
    </row>
    <row r="9" spans="1:22" ht="15" thickBot="1" x14ac:dyDescent="0.35">
      <c r="A9" s="132" t="s">
        <v>84</v>
      </c>
      <c r="B9" s="132">
        <f t="shared" si="2"/>
        <v>720</v>
      </c>
      <c r="C9" s="132">
        <v>90</v>
      </c>
      <c r="D9" s="133">
        <f t="shared" si="3"/>
        <v>5</v>
      </c>
      <c r="E9" s="132">
        <f t="shared" si="4"/>
        <v>768</v>
      </c>
      <c r="F9" s="132">
        <v>96</v>
      </c>
      <c r="G9" s="133">
        <f t="shared" si="5"/>
        <v>5</v>
      </c>
      <c r="H9" s="132">
        <f t="shared" si="6"/>
        <v>1704</v>
      </c>
      <c r="I9" s="133">
        <v>213</v>
      </c>
      <c r="J9" s="133">
        <f t="shared" si="7"/>
        <v>11</v>
      </c>
      <c r="K9" s="132">
        <f t="shared" si="8"/>
        <v>648</v>
      </c>
      <c r="L9" s="133">
        <v>81</v>
      </c>
      <c r="M9" s="133">
        <f t="shared" si="10"/>
        <v>4</v>
      </c>
      <c r="N9" s="132">
        <v>660</v>
      </c>
      <c r="O9" s="133">
        <f t="shared" si="9"/>
        <v>82.5</v>
      </c>
      <c r="P9" s="133">
        <f>O9/20</f>
        <v>4.125</v>
      </c>
      <c r="Q9" s="132">
        <v>1020</v>
      </c>
      <c r="R9" s="133">
        <f t="shared" si="0"/>
        <v>127.5</v>
      </c>
      <c r="S9" s="133">
        <f>R9/20</f>
        <v>6.375</v>
      </c>
      <c r="T9" s="132">
        <v>1860</v>
      </c>
      <c r="U9" s="133">
        <f t="shared" si="1"/>
        <v>232.5</v>
      </c>
      <c r="V9" s="133">
        <f>U9/20</f>
        <v>11.625</v>
      </c>
    </row>
    <row r="10" spans="1:22" ht="15" thickBot="1" x14ac:dyDescent="0.35">
      <c r="A10" s="132" t="s">
        <v>85</v>
      </c>
      <c r="B10" s="132">
        <f t="shared" si="2"/>
        <v>720</v>
      </c>
      <c r="C10" s="132">
        <v>90</v>
      </c>
      <c r="D10" s="133">
        <f t="shared" si="3"/>
        <v>5</v>
      </c>
      <c r="E10" s="132">
        <f t="shared" si="4"/>
        <v>768</v>
      </c>
      <c r="F10" s="132">
        <v>96</v>
      </c>
      <c r="G10" s="133">
        <f t="shared" si="5"/>
        <v>5</v>
      </c>
      <c r="H10" s="132">
        <f t="shared" si="6"/>
        <v>1704</v>
      </c>
      <c r="I10" s="133">
        <v>213</v>
      </c>
      <c r="J10" s="133">
        <f t="shared" si="7"/>
        <v>11</v>
      </c>
      <c r="K10" s="132">
        <f t="shared" si="8"/>
        <v>648</v>
      </c>
      <c r="L10" s="133">
        <v>81</v>
      </c>
      <c r="M10" s="133">
        <f t="shared" si="10"/>
        <v>4</v>
      </c>
      <c r="N10" s="132"/>
      <c r="O10" s="133"/>
      <c r="P10" s="133"/>
      <c r="Q10" s="132"/>
      <c r="R10" s="133"/>
      <c r="S10" s="133"/>
      <c r="T10" s="132"/>
      <c r="U10" s="133"/>
      <c r="V10" s="133"/>
    </row>
    <row r="11" spans="1:22" ht="15" thickBot="1" x14ac:dyDescent="0.35">
      <c r="A11" s="132" t="s">
        <v>86</v>
      </c>
      <c r="B11" s="132">
        <f t="shared" si="2"/>
        <v>352</v>
      </c>
      <c r="C11" s="132">
        <v>44</v>
      </c>
      <c r="D11" s="133">
        <f t="shared" si="3"/>
        <v>2</v>
      </c>
      <c r="E11" s="132">
        <f t="shared" si="4"/>
        <v>352</v>
      </c>
      <c r="F11" s="132">
        <v>44</v>
      </c>
      <c r="G11" s="133">
        <f t="shared" si="5"/>
        <v>2</v>
      </c>
      <c r="H11" s="132">
        <f t="shared" si="6"/>
        <v>752</v>
      </c>
      <c r="I11" s="133">
        <v>94</v>
      </c>
      <c r="J11" s="133">
        <f t="shared" si="7"/>
        <v>5</v>
      </c>
      <c r="K11" s="132">
        <f t="shared" si="8"/>
        <v>312</v>
      </c>
      <c r="L11" s="133">
        <v>39</v>
      </c>
      <c r="M11" s="133">
        <f t="shared" si="10"/>
        <v>2</v>
      </c>
      <c r="N11" s="132"/>
      <c r="O11" s="133"/>
      <c r="P11" s="133"/>
      <c r="Q11" s="132"/>
      <c r="R11" s="133"/>
      <c r="S11" s="133"/>
      <c r="T11" s="132"/>
      <c r="U11" s="133"/>
      <c r="V11" s="133"/>
    </row>
    <row r="12" spans="1:22" ht="15" thickBot="1" x14ac:dyDescent="0.35">
      <c r="A12" s="132" t="s">
        <v>87</v>
      </c>
      <c r="B12" s="132">
        <f t="shared" si="2"/>
        <v>536</v>
      </c>
      <c r="C12" s="132">
        <v>67</v>
      </c>
      <c r="D12" s="133">
        <f>ROUND(C12/20, 0)</f>
        <v>3</v>
      </c>
      <c r="E12" s="132">
        <f t="shared" si="4"/>
        <v>600</v>
      </c>
      <c r="F12" s="132">
        <v>75</v>
      </c>
      <c r="G12" s="133">
        <f t="shared" si="5"/>
        <v>4</v>
      </c>
      <c r="H12" s="132">
        <f t="shared" si="6"/>
        <v>1328</v>
      </c>
      <c r="I12" s="133">
        <v>166</v>
      </c>
      <c r="J12" s="133">
        <f t="shared" si="7"/>
        <v>8</v>
      </c>
      <c r="K12" s="132">
        <f t="shared" si="8"/>
        <v>520</v>
      </c>
      <c r="L12" s="133">
        <v>65</v>
      </c>
      <c r="M12" s="133">
        <f t="shared" si="10"/>
        <v>3</v>
      </c>
      <c r="N12" s="132">
        <v>81</v>
      </c>
      <c r="O12" s="133">
        <f t="shared" si="9"/>
        <v>10.125</v>
      </c>
      <c r="P12" s="133">
        <f>O12/20</f>
        <v>0.50624999999999998</v>
      </c>
      <c r="Q12" s="132">
        <v>249</v>
      </c>
      <c r="R12" s="133">
        <f t="shared" si="0"/>
        <v>31.125</v>
      </c>
      <c r="S12" s="133">
        <f>R12/20</f>
        <v>1.5562499999999999</v>
      </c>
      <c r="T12" s="132">
        <v>360</v>
      </c>
      <c r="U12" s="133">
        <f t="shared" si="1"/>
        <v>45</v>
      </c>
      <c r="V12" s="133">
        <f>U12/20</f>
        <v>2.25</v>
      </c>
    </row>
    <row r="13" spans="1:22" ht="15" thickBot="1" x14ac:dyDescent="0.35">
      <c r="A13" s="132" t="s">
        <v>88</v>
      </c>
      <c r="B13" s="132">
        <f t="shared" si="2"/>
        <v>248</v>
      </c>
      <c r="C13" s="132">
        <v>31</v>
      </c>
      <c r="D13" s="133">
        <f t="shared" si="3"/>
        <v>2</v>
      </c>
      <c r="E13" s="132">
        <f t="shared" si="4"/>
        <v>248</v>
      </c>
      <c r="F13" s="132">
        <v>31</v>
      </c>
      <c r="G13" s="133">
        <f t="shared" si="5"/>
        <v>2</v>
      </c>
      <c r="H13" s="132">
        <f t="shared" si="6"/>
        <v>632</v>
      </c>
      <c r="I13" s="133">
        <v>79</v>
      </c>
      <c r="J13" s="133">
        <f t="shared" si="7"/>
        <v>4</v>
      </c>
      <c r="K13" s="132">
        <f t="shared" si="8"/>
        <v>208</v>
      </c>
      <c r="L13" s="133">
        <v>26</v>
      </c>
      <c r="M13" s="133">
        <f t="shared" si="10"/>
        <v>1</v>
      </c>
      <c r="N13" s="132"/>
      <c r="O13" s="133"/>
      <c r="P13" s="133"/>
      <c r="Q13" s="132"/>
      <c r="R13" s="133"/>
      <c r="S13" s="133"/>
      <c r="T13" s="132"/>
      <c r="U13" s="133"/>
      <c r="V13" s="133"/>
    </row>
    <row r="14" spans="1:22" ht="15" thickBot="1" x14ac:dyDescent="0.35">
      <c r="A14" s="132" t="s">
        <v>89</v>
      </c>
      <c r="B14" s="132">
        <f t="shared" si="2"/>
        <v>432</v>
      </c>
      <c r="C14" s="132">
        <v>54</v>
      </c>
      <c r="D14" s="133">
        <f t="shared" si="3"/>
        <v>3</v>
      </c>
      <c r="E14" s="132">
        <f t="shared" si="4"/>
        <v>456</v>
      </c>
      <c r="F14" s="132">
        <v>57</v>
      </c>
      <c r="G14" s="133">
        <f t="shared" si="5"/>
        <v>3</v>
      </c>
      <c r="H14" s="132">
        <f t="shared" si="6"/>
        <v>1024</v>
      </c>
      <c r="I14" s="133">
        <v>128</v>
      </c>
      <c r="J14" s="133">
        <f t="shared" si="7"/>
        <v>6</v>
      </c>
      <c r="K14" s="132">
        <f t="shared" si="8"/>
        <v>408</v>
      </c>
      <c r="L14" s="133">
        <v>51</v>
      </c>
      <c r="M14" s="133">
        <f t="shared" si="10"/>
        <v>3</v>
      </c>
      <c r="N14" s="132"/>
      <c r="O14" s="133"/>
      <c r="P14" s="133"/>
      <c r="Q14" s="132"/>
      <c r="R14" s="133"/>
      <c r="S14" s="133"/>
      <c r="T14" s="132"/>
      <c r="U14" s="133"/>
      <c r="V14" s="133"/>
    </row>
    <row r="15" spans="1:22" ht="15" thickBot="1" x14ac:dyDescent="0.35">
      <c r="A15" s="132" t="s">
        <v>90</v>
      </c>
      <c r="B15" s="132">
        <f t="shared" si="2"/>
        <v>432</v>
      </c>
      <c r="C15" s="132">
        <v>54</v>
      </c>
      <c r="D15" s="133">
        <f t="shared" si="3"/>
        <v>3</v>
      </c>
      <c r="E15" s="132">
        <f t="shared" si="4"/>
        <v>424</v>
      </c>
      <c r="F15" s="132">
        <v>53</v>
      </c>
      <c r="G15" s="133">
        <f t="shared" si="5"/>
        <v>3</v>
      </c>
      <c r="H15" s="132">
        <f t="shared" si="6"/>
        <v>768</v>
      </c>
      <c r="I15" s="133">
        <v>96</v>
      </c>
      <c r="J15" s="133">
        <f t="shared" si="7"/>
        <v>5</v>
      </c>
      <c r="K15" s="132">
        <f t="shared" si="8"/>
        <v>288</v>
      </c>
      <c r="L15" s="133">
        <v>36</v>
      </c>
      <c r="M15" s="133">
        <f t="shared" si="10"/>
        <v>2</v>
      </c>
      <c r="N15" s="132"/>
      <c r="O15" s="133"/>
      <c r="P15" s="133"/>
      <c r="Q15" s="132"/>
      <c r="R15" s="133"/>
      <c r="S15" s="133"/>
      <c r="T15" s="132"/>
      <c r="U15" s="133"/>
      <c r="V15" s="133"/>
    </row>
    <row r="16" spans="1:22" ht="15" thickBot="1" x14ac:dyDescent="0.35">
      <c r="A16" s="132" t="s">
        <v>91</v>
      </c>
      <c r="B16" s="132">
        <f t="shared" si="2"/>
        <v>520</v>
      </c>
      <c r="C16" s="132">
        <v>65</v>
      </c>
      <c r="D16" s="133">
        <f t="shared" si="3"/>
        <v>3</v>
      </c>
      <c r="E16" s="132">
        <f t="shared" si="4"/>
        <v>528</v>
      </c>
      <c r="F16" s="132">
        <v>66</v>
      </c>
      <c r="G16" s="133">
        <f t="shared" si="5"/>
        <v>3</v>
      </c>
      <c r="H16" s="132">
        <f t="shared" si="6"/>
        <v>904</v>
      </c>
      <c r="I16" s="133">
        <v>113</v>
      </c>
      <c r="J16" s="133">
        <f t="shared" si="7"/>
        <v>6</v>
      </c>
      <c r="K16" s="132">
        <f t="shared" si="8"/>
        <v>408</v>
      </c>
      <c r="L16" s="133">
        <v>51</v>
      </c>
      <c r="M16" s="133">
        <f t="shared" si="10"/>
        <v>3</v>
      </c>
      <c r="N16" s="132"/>
      <c r="O16" s="133"/>
      <c r="P16" s="133"/>
      <c r="Q16" s="132"/>
      <c r="R16" s="133"/>
      <c r="S16" s="133"/>
      <c r="T16" s="132"/>
      <c r="U16" s="133"/>
      <c r="V16" s="133"/>
    </row>
    <row r="17" spans="1:22" ht="15" thickBot="1" x14ac:dyDescent="0.35">
      <c r="A17" s="132" t="s">
        <v>92</v>
      </c>
      <c r="B17" s="132">
        <f t="shared" si="2"/>
        <v>160</v>
      </c>
      <c r="C17" s="132">
        <v>20</v>
      </c>
      <c r="D17" s="133">
        <f t="shared" si="3"/>
        <v>1</v>
      </c>
      <c r="E17" s="132">
        <f t="shared" si="4"/>
        <v>160</v>
      </c>
      <c r="F17" s="132">
        <v>20</v>
      </c>
      <c r="G17" s="133">
        <f t="shared" si="5"/>
        <v>1</v>
      </c>
      <c r="H17" s="132">
        <f t="shared" si="6"/>
        <v>160</v>
      </c>
      <c r="I17" s="133">
        <v>20</v>
      </c>
      <c r="J17" s="133">
        <f t="shared" si="7"/>
        <v>1</v>
      </c>
      <c r="K17" s="132">
        <f t="shared" si="8"/>
        <v>160</v>
      </c>
      <c r="L17" s="133">
        <v>20</v>
      </c>
      <c r="M17" s="133">
        <f t="shared" si="10"/>
        <v>1</v>
      </c>
      <c r="N17" s="132"/>
      <c r="O17" s="133"/>
      <c r="P17" s="133"/>
      <c r="Q17" s="132"/>
      <c r="R17" s="133"/>
      <c r="S17" s="133"/>
      <c r="T17" s="132"/>
      <c r="U17" s="133"/>
      <c r="V17" s="133"/>
    </row>
    <row r="18" spans="1:22" ht="15" thickBot="1" x14ac:dyDescent="0.35">
      <c r="A18" s="132" t="s">
        <v>93</v>
      </c>
      <c r="B18" s="134">
        <f t="shared" si="2"/>
        <v>160</v>
      </c>
      <c r="C18" s="134">
        <v>20</v>
      </c>
      <c r="D18" s="133">
        <f t="shared" si="3"/>
        <v>1</v>
      </c>
      <c r="E18" s="134">
        <f t="shared" si="4"/>
        <v>160</v>
      </c>
      <c r="F18" s="134">
        <v>20</v>
      </c>
      <c r="G18" s="133">
        <f t="shared" si="5"/>
        <v>1</v>
      </c>
      <c r="H18" s="132">
        <f t="shared" si="6"/>
        <v>160</v>
      </c>
      <c r="I18" s="133">
        <v>20</v>
      </c>
      <c r="J18" s="133">
        <f t="shared" si="7"/>
        <v>1</v>
      </c>
      <c r="K18" s="132">
        <f t="shared" si="8"/>
        <v>160</v>
      </c>
      <c r="L18" s="133">
        <v>20</v>
      </c>
      <c r="M18" s="133">
        <f t="shared" si="10"/>
        <v>1</v>
      </c>
      <c r="N18" s="132"/>
      <c r="O18" s="133"/>
      <c r="P18" s="133"/>
      <c r="Q18" s="132"/>
      <c r="R18" s="133"/>
      <c r="S18" s="133"/>
      <c r="T18" s="132"/>
      <c r="U18" s="133"/>
      <c r="V18" s="133"/>
    </row>
    <row r="19" spans="1:22" ht="15" thickBot="1" x14ac:dyDescent="0.35">
      <c r="A19" s="356" t="s">
        <v>94</v>
      </c>
      <c r="B19" s="357">
        <f>SUM(B5:B18)</f>
        <v>5520</v>
      </c>
      <c r="C19" s="357">
        <f t="shared" ref="C19:F19" si="11">SUM(C5:C18)</f>
        <v>690</v>
      </c>
      <c r="D19" s="357">
        <f t="shared" si="11"/>
        <v>37</v>
      </c>
      <c r="E19" s="357">
        <f t="shared" si="11"/>
        <v>5936</v>
      </c>
      <c r="F19" s="357">
        <f t="shared" si="11"/>
        <v>742</v>
      </c>
      <c r="G19" s="358">
        <f t="shared" ref="G19" si="12">F19/20</f>
        <v>37.1</v>
      </c>
      <c r="H19" s="357">
        <f>SUM(H5:H18)</f>
        <v>12400</v>
      </c>
      <c r="I19" s="357">
        <f t="shared" ref="I19:V19" si="13">SUM(I5:I18)</f>
        <v>1550</v>
      </c>
      <c r="J19" s="358">
        <f t="shared" si="7"/>
        <v>78</v>
      </c>
      <c r="K19" s="357">
        <f t="shared" si="13"/>
        <v>4976</v>
      </c>
      <c r="L19" s="357">
        <f t="shared" si="13"/>
        <v>622</v>
      </c>
      <c r="M19" s="357">
        <f t="shared" si="13"/>
        <v>33</v>
      </c>
      <c r="N19" s="357">
        <f t="shared" si="13"/>
        <v>921</v>
      </c>
      <c r="O19" s="357">
        <f t="shared" si="13"/>
        <v>115.125</v>
      </c>
      <c r="P19" s="357">
        <f t="shared" si="13"/>
        <v>5.7562499999999996</v>
      </c>
      <c r="Q19" s="357">
        <f t="shared" si="13"/>
        <v>1647</v>
      </c>
      <c r="R19" s="357">
        <f t="shared" si="13"/>
        <v>205.875</v>
      </c>
      <c r="S19" s="357">
        <f t="shared" si="13"/>
        <v>10.293750000000001</v>
      </c>
      <c r="T19" s="357">
        <f t="shared" si="13"/>
        <v>2728</v>
      </c>
      <c r="U19" s="357">
        <f t="shared" si="13"/>
        <v>341</v>
      </c>
      <c r="V19" s="357">
        <f t="shared" si="13"/>
        <v>17.05</v>
      </c>
    </row>
    <row r="20" spans="1:22" ht="15" thickBot="1" x14ac:dyDescent="0.35">
      <c r="A20" s="135" t="s">
        <v>2</v>
      </c>
      <c r="B20" s="374">
        <f>'Digitalized Invoice Effort'!B107+'Digitalized Invoice Effort'!A107</f>
        <v>36</v>
      </c>
      <c r="C20" s="375"/>
      <c r="D20" s="376"/>
      <c r="E20" s="374">
        <f>'Survey App Effort'!B148</f>
        <v>16</v>
      </c>
      <c r="F20" s="375"/>
      <c r="G20" s="376"/>
      <c r="H20" s="374">
        <f>'CAF Effort'!B251</f>
        <v>24</v>
      </c>
      <c r="I20" s="375"/>
      <c r="J20" s="376"/>
      <c r="K20" s="374">
        <f>'CWT Effort'!B66</f>
        <v>13</v>
      </c>
      <c r="L20" s="375"/>
      <c r="M20" s="376"/>
      <c r="N20" s="374">
        <v>5</v>
      </c>
      <c r="O20" s="375">
        <v>5</v>
      </c>
      <c r="P20" s="376">
        <v>5</v>
      </c>
      <c r="Q20" s="374">
        <v>15</v>
      </c>
      <c r="R20" s="375">
        <v>15</v>
      </c>
      <c r="S20" s="376">
        <v>15</v>
      </c>
      <c r="T20" s="374">
        <v>24</v>
      </c>
      <c r="U20" s="375"/>
      <c r="V20" s="376"/>
    </row>
    <row r="21" spans="1:22" ht="15" thickBot="1" x14ac:dyDescent="0.35">
      <c r="A21" s="135" t="s">
        <v>66</v>
      </c>
      <c r="B21" s="374">
        <f>'Digitalized Invoice Effort'!C107</f>
        <v>60</v>
      </c>
      <c r="C21" s="375"/>
      <c r="D21" s="376"/>
      <c r="E21" s="374">
        <f>'Survey App Effort'!C148</f>
        <v>82</v>
      </c>
      <c r="F21" s="375"/>
      <c r="G21" s="376"/>
      <c r="H21" s="374">
        <f>'CAF Effort'!C251</f>
        <v>95</v>
      </c>
      <c r="I21" s="375"/>
      <c r="J21" s="376"/>
      <c r="K21" s="374">
        <f>'CWT Effort'!C66</f>
        <v>49</v>
      </c>
      <c r="L21" s="375"/>
      <c r="M21" s="376"/>
      <c r="N21" s="374">
        <v>22</v>
      </c>
      <c r="O21" s="375">
        <v>22</v>
      </c>
      <c r="P21" s="376">
        <v>22</v>
      </c>
      <c r="Q21" s="374">
        <v>27</v>
      </c>
      <c r="R21" s="375">
        <v>27</v>
      </c>
      <c r="S21" s="376">
        <v>27</v>
      </c>
      <c r="T21" s="374">
        <v>90</v>
      </c>
      <c r="U21" s="375"/>
      <c r="V21" s="376"/>
    </row>
    <row r="22" spans="1:22" ht="15" thickBot="1" x14ac:dyDescent="0.35">
      <c r="A22" s="136" t="s">
        <v>67</v>
      </c>
      <c r="B22" s="374">
        <f>'Digitalized Invoice Effort'!D107</f>
        <v>8</v>
      </c>
      <c r="C22" s="375"/>
      <c r="D22" s="376"/>
      <c r="E22" s="374">
        <f>'Survey App Effort'!D148</f>
        <v>44</v>
      </c>
      <c r="F22" s="375"/>
      <c r="G22" s="376"/>
      <c r="H22" s="374">
        <f>'CAF Effort'!D251</f>
        <v>125</v>
      </c>
      <c r="I22" s="375"/>
      <c r="J22" s="376"/>
      <c r="K22" s="374">
        <f>'Digitalized Invoice Effort'!A107</f>
        <v>5</v>
      </c>
      <c r="L22" s="375"/>
      <c r="M22" s="376"/>
      <c r="N22" s="374">
        <v>10</v>
      </c>
      <c r="O22" s="375">
        <v>10</v>
      </c>
      <c r="P22" s="376">
        <v>10</v>
      </c>
      <c r="Q22" s="374">
        <v>18</v>
      </c>
      <c r="R22" s="375">
        <v>18</v>
      </c>
      <c r="S22" s="376">
        <v>18</v>
      </c>
      <c r="T22" s="374">
        <v>68</v>
      </c>
      <c r="U22" s="375"/>
      <c r="V22" s="376"/>
    </row>
    <row r="23" spans="1:22" ht="15" thickBot="1" x14ac:dyDescent="0.35">
      <c r="A23" s="136" t="s">
        <v>68</v>
      </c>
      <c r="B23" s="374">
        <f>'Digitalized Invoice Effort'!E107</f>
        <v>82</v>
      </c>
      <c r="C23" s="375"/>
      <c r="D23" s="376"/>
      <c r="E23" s="374">
        <f>'Survey App Effort'!E148</f>
        <v>54</v>
      </c>
      <c r="F23" s="375"/>
      <c r="G23" s="376"/>
      <c r="H23" s="374">
        <v>120</v>
      </c>
      <c r="I23" s="375"/>
      <c r="J23" s="376"/>
      <c r="K23" s="374">
        <f>'CWT Effort'!E66</f>
        <v>22</v>
      </c>
      <c r="L23" s="375"/>
      <c r="M23" s="376"/>
      <c r="N23" s="374">
        <v>13</v>
      </c>
      <c r="O23" s="375">
        <v>13</v>
      </c>
      <c r="P23" s="376">
        <v>13</v>
      </c>
      <c r="Q23" s="374">
        <v>23</v>
      </c>
      <c r="R23" s="375">
        <v>23</v>
      </c>
      <c r="S23" s="376">
        <v>23</v>
      </c>
      <c r="T23" s="374">
        <v>37</v>
      </c>
      <c r="U23" s="375"/>
      <c r="V23" s="376"/>
    </row>
  </sheetData>
  <mergeCells count="35">
    <mergeCell ref="Q20:S20"/>
    <mergeCell ref="Q21:S21"/>
    <mergeCell ref="Q22:S22"/>
    <mergeCell ref="Q23:S23"/>
    <mergeCell ref="T1:V1"/>
    <mergeCell ref="T20:V20"/>
    <mergeCell ref="T21:V21"/>
    <mergeCell ref="T22:V22"/>
    <mergeCell ref="T23:V23"/>
    <mergeCell ref="Q1:S1"/>
    <mergeCell ref="N1:P1"/>
    <mergeCell ref="N20:P20"/>
    <mergeCell ref="N21:P21"/>
    <mergeCell ref="N22:P22"/>
    <mergeCell ref="N23:P23"/>
    <mergeCell ref="B23:D23"/>
    <mergeCell ref="E23:G23"/>
    <mergeCell ref="H23:J23"/>
    <mergeCell ref="K23:M23"/>
    <mergeCell ref="B20:D20"/>
    <mergeCell ref="B21:D21"/>
    <mergeCell ref="B22:D22"/>
    <mergeCell ref="H20:J20"/>
    <mergeCell ref="H21:J21"/>
    <mergeCell ref="H22:J22"/>
    <mergeCell ref="K1:M1"/>
    <mergeCell ref="K20:M20"/>
    <mergeCell ref="K21:M21"/>
    <mergeCell ref="K22:M22"/>
    <mergeCell ref="B1:D1"/>
    <mergeCell ref="E1:G1"/>
    <mergeCell ref="E20:G20"/>
    <mergeCell ref="E21:G21"/>
    <mergeCell ref="E22:G22"/>
    <mergeCell ref="H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0BEF8-AFFA-4E99-8EC8-B8177D909AC5}">
  <dimension ref="A1:R12"/>
  <sheetViews>
    <sheetView workbookViewId="0">
      <selection activeCell="B4" sqref="B4:O4"/>
    </sheetView>
  </sheetViews>
  <sheetFormatPr defaultRowHeight="14.4" x14ac:dyDescent="0.3"/>
  <cols>
    <col min="1" max="1" width="19.109375" bestFit="1" customWidth="1"/>
    <col min="2" max="2" width="12" bestFit="1" customWidth="1"/>
    <col min="3" max="3" width="5.44140625" bestFit="1" customWidth="1"/>
    <col min="4" max="5" width="12" bestFit="1" customWidth="1"/>
    <col min="6" max="7" width="7.33203125" bestFit="1" customWidth="1"/>
    <col min="8" max="8" width="12" bestFit="1" customWidth="1"/>
    <col min="9" max="9" width="14.109375" bestFit="1" customWidth="1"/>
    <col min="10" max="10" width="12" bestFit="1" customWidth="1"/>
    <col min="11" max="11" width="14.33203125" bestFit="1" customWidth="1"/>
    <col min="12" max="13" width="12" bestFit="1" customWidth="1"/>
    <col min="14" max="14" width="16.33203125" bestFit="1" customWidth="1"/>
    <col min="15" max="15" width="17.33203125" bestFit="1" customWidth="1"/>
    <col min="16" max="16" width="18.33203125" bestFit="1" customWidth="1"/>
    <col min="17" max="17" width="12" bestFit="1" customWidth="1"/>
    <col min="18" max="18" width="8.109375" bestFit="1" customWidth="1"/>
  </cols>
  <sheetData>
    <row r="1" spans="1:18" ht="15" thickBot="1" x14ac:dyDescent="0.35">
      <c r="A1" s="51" t="s">
        <v>95</v>
      </c>
      <c r="B1" s="46" t="s">
        <v>81</v>
      </c>
      <c r="C1" s="46" t="s">
        <v>61</v>
      </c>
      <c r="D1" s="46" t="s">
        <v>82</v>
      </c>
      <c r="E1" s="46" t="s">
        <v>83</v>
      </c>
      <c r="F1" s="46" t="s">
        <v>84</v>
      </c>
      <c r="G1" s="46" t="s">
        <v>85</v>
      </c>
      <c r="H1" s="46" t="s">
        <v>86</v>
      </c>
      <c r="I1" s="46" t="s">
        <v>87</v>
      </c>
      <c r="J1" s="46" t="s">
        <v>88</v>
      </c>
      <c r="K1" s="46" t="s">
        <v>89</v>
      </c>
      <c r="L1" s="46" t="s">
        <v>90</v>
      </c>
      <c r="M1" s="46" t="s">
        <v>91</v>
      </c>
      <c r="N1" s="46" t="s">
        <v>92</v>
      </c>
      <c r="O1" s="46" t="s">
        <v>93</v>
      </c>
      <c r="P1" s="46" t="s">
        <v>96</v>
      </c>
      <c r="Q1" s="46" t="s">
        <v>97</v>
      </c>
      <c r="R1" s="46" t="s">
        <v>98</v>
      </c>
    </row>
    <row r="2" spans="1:18" x14ac:dyDescent="0.3">
      <c r="A2" s="52" t="s">
        <v>99</v>
      </c>
      <c r="B2" s="13">
        <v>34</v>
      </c>
      <c r="C2" s="13">
        <v>34</v>
      </c>
      <c r="D2" s="13">
        <v>32</v>
      </c>
      <c r="E2" s="13">
        <v>55</v>
      </c>
      <c r="F2" s="13">
        <v>90</v>
      </c>
      <c r="G2" s="13">
        <v>90</v>
      </c>
      <c r="H2" s="13">
        <v>44</v>
      </c>
      <c r="I2" s="13">
        <v>67</v>
      </c>
      <c r="J2" s="13">
        <v>31</v>
      </c>
      <c r="K2" s="13">
        <v>54</v>
      </c>
      <c r="L2" s="13">
        <v>54</v>
      </c>
      <c r="M2" s="13">
        <v>65</v>
      </c>
      <c r="N2" s="13">
        <v>20</v>
      </c>
      <c r="O2" s="13">
        <v>20</v>
      </c>
      <c r="P2" s="39">
        <f>SUM(Table712[[#This Row],[PM]:[DevOps Engineer]])</f>
        <v>690</v>
      </c>
      <c r="Q2" s="9">
        <f>Table712[[#This Row],[App Effort (In Days]]/22</f>
        <v>31.363636363636363</v>
      </c>
      <c r="R2">
        <f>Table712[[#This Row],[App Effort (In Days]]*8</f>
        <v>5520</v>
      </c>
    </row>
    <row r="3" spans="1:18" ht="15" thickBot="1" x14ac:dyDescent="0.35">
      <c r="A3" s="53" t="s">
        <v>100</v>
      </c>
      <c r="B3" s="1">
        <v>42</v>
      </c>
      <c r="C3" s="1">
        <v>43</v>
      </c>
      <c r="D3" s="1">
        <v>43</v>
      </c>
      <c r="E3" s="1">
        <v>56</v>
      </c>
      <c r="F3" s="1">
        <v>96</v>
      </c>
      <c r="G3" s="1">
        <v>96</v>
      </c>
      <c r="H3" s="1">
        <v>44</v>
      </c>
      <c r="I3" s="1">
        <v>75</v>
      </c>
      <c r="J3" s="1">
        <v>31</v>
      </c>
      <c r="K3" s="1">
        <v>57</v>
      </c>
      <c r="L3" s="1">
        <v>53</v>
      </c>
      <c r="M3" s="1">
        <v>66</v>
      </c>
      <c r="N3" s="1">
        <v>20</v>
      </c>
      <c r="O3" s="1">
        <v>20</v>
      </c>
      <c r="P3" s="10">
        <f>SUM(Table712[[#This Row],[PM]:[DevOps Engineer]])</f>
        <v>742</v>
      </c>
      <c r="Q3" s="1">
        <f>Table712[[#This Row],[App Effort (In Days]]/22</f>
        <v>33.727272727272727</v>
      </c>
      <c r="R3">
        <f>Table712[[#This Row],[App Effort (In Days]]*8</f>
        <v>5936</v>
      </c>
    </row>
    <row r="4" spans="1:18" ht="15" thickBot="1" x14ac:dyDescent="0.35">
      <c r="A4" s="53" t="s">
        <v>101</v>
      </c>
      <c r="B4" s="1">
        <v>32</v>
      </c>
      <c r="C4" s="1">
        <v>32</v>
      </c>
      <c r="D4" s="1">
        <v>37</v>
      </c>
      <c r="E4" s="1">
        <v>51</v>
      </c>
      <c r="F4" s="1">
        <v>81</v>
      </c>
      <c r="G4" s="1">
        <v>81</v>
      </c>
      <c r="H4" s="1">
        <v>39</v>
      </c>
      <c r="I4" s="1">
        <v>65</v>
      </c>
      <c r="J4" s="1">
        <v>26</v>
      </c>
      <c r="K4" s="1">
        <v>51</v>
      </c>
      <c r="L4" s="1">
        <v>36</v>
      </c>
      <c r="M4" s="1">
        <v>51</v>
      </c>
      <c r="N4" s="1">
        <v>20</v>
      </c>
      <c r="O4" s="1">
        <v>20</v>
      </c>
      <c r="P4" s="10">
        <f>SUM(Table712[[#This Row],[PM]:[DevOps Engineer]])</f>
        <v>622</v>
      </c>
      <c r="Q4" s="109">
        <f>Table712[[#This Row],[App Effort (In Days]]/22</f>
        <v>28.272727272727273</v>
      </c>
      <c r="R4">
        <f>Table712[[#This Row],[App Effort (In Days]]*8</f>
        <v>4976</v>
      </c>
    </row>
    <row r="5" spans="1:18" x14ac:dyDescent="0.3">
      <c r="A5" s="53" t="s">
        <v>102</v>
      </c>
      <c r="B5" s="1">
        <f>'CAF Effort'!E250</f>
        <v>89</v>
      </c>
      <c r="C5" s="1">
        <f>'CAF Effort'!F250</f>
        <v>89</v>
      </c>
      <c r="D5" s="1">
        <f>'CAF Effort'!G250</f>
        <v>90</v>
      </c>
      <c r="E5" s="1">
        <f>'CAF Effort'!H250</f>
        <v>140</v>
      </c>
      <c r="F5" s="1">
        <f>'CAF Effort'!I250</f>
        <v>213</v>
      </c>
      <c r="G5" s="1">
        <f>'CAF Effort'!J250</f>
        <v>213</v>
      </c>
      <c r="H5" s="1">
        <f>'CAF Effort'!K250</f>
        <v>94</v>
      </c>
      <c r="I5" s="1">
        <f>'CAF Effort'!L250</f>
        <v>166</v>
      </c>
      <c r="J5" s="1">
        <f>'CAF Effort'!M250</f>
        <v>79</v>
      </c>
      <c r="K5" s="1">
        <f>'CAF Effort'!N250</f>
        <v>128</v>
      </c>
      <c r="L5" s="1">
        <f>'CAF Effort'!O250</f>
        <v>96</v>
      </c>
      <c r="M5" s="1">
        <f>'CAF Effort'!P250</f>
        <v>113</v>
      </c>
      <c r="N5" s="1">
        <v>20</v>
      </c>
      <c r="O5" s="1">
        <v>20</v>
      </c>
      <c r="P5" s="10">
        <f>SUM(Table712[[#This Row],[PM]:[DevOps Engineer]])</f>
        <v>1550</v>
      </c>
      <c r="Q5" s="9">
        <f>Table712[[#This Row],[App Effort (In Days]]/22</f>
        <v>70.454545454545453</v>
      </c>
      <c r="R5">
        <f>Table712[[#This Row],[App Effort (In Days]]*8</f>
        <v>12400</v>
      </c>
    </row>
    <row r="6" spans="1:18" ht="15" thickBot="1" x14ac:dyDescent="0.35">
      <c r="A6" s="107" t="s">
        <v>103</v>
      </c>
      <c r="B6" s="15">
        <f t="shared" ref="B6:O6" si="0">SUM(B2:B5)</f>
        <v>197</v>
      </c>
      <c r="C6" s="15">
        <f t="shared" si="0"/>
        <v>198</v>
      </c>
      <c r="D6" s="15">
        <f t="shared" si="0"/>
        <v>202</v>
      </c>
      <c r="E6" s="15">
        <f t="shared" si="0"/>
        <v>302</v>
      </c>
      <c r="F6" s="15">
        <f t="shared" si="0"/>
        <v>480</v>
      </c>
      <c r="G6" s="15">
        <f t="shared" si="0"/>
        <v>480</v>
      </c>
      <c r="H6" s="15">
        <f t="shared" si="0"/>
        <v>221</v>
      </c>
      <c r="I6" s="15">
        <f t="shared" si="0"/>
        <v>373</v>
      </c>
      <c r="J6" s="15">
        <f t="shared" si="0"/>
        <v>167</v>
      </c>
      <c r="K6" s="15">
        <f t="shared" si="0"/>
        <v>290</v>
      </c>
      <c r="L6" s="15">
        <f t="shared" si="0"/>
        <v>239</v>
      </c>
      <c r="M6" s="15">
        <f t="shared" si="0"/>
        <v>295</v>
      </c>
      <c r="N6" s="15">
        <f t="shared" si="0"/>
        <v>80</v>
      </c>
      <c r="O6" s="15">
        <f t="shared" si="0"/>
        <v>80</v>
      </c>
      <c r="P6" s="108">
        <f>SUM(Table712[[#This Row],[PM]:[DevOps Engineer]])</f>
        <v>3604</v>
      </c>
      <c r="Q6" s="15">
        <f>Table712[[#This Row],[App Effort (In Days]]/22</f>
        <v>163.81818181818181</v>
      </c>
      <c r="R6">
        <f>Table712[[#This Row],[App Effort (In Days]]*8</f>
        <v>28832</v>
      </c>
    </row>
    <row r="7" spans="1:18" x14ac:dyDescent="0.3">
      <c r="A7" s="52" t="s">
        <v>104</v>
      </c>
      <c r="B7" s="13">
        <f>B6/20</f>
        <v>9.85</v>
      </c>
      <c r="C7" s="13">
        <f t="shared" ref="C7:P7" si="1">C6/20</f>
        <v>9.9</v>
      </c>
      <c r="D7" s="13">
        <f t="shared" si="1"/>
        <v>10.1</v>
      </c>
      <c r="E7" s="13">
        <f t="shared" si="1"/>
        <v>15.1</v>
      </c>
      <c r="F7" s="13">
        <f t="shared" si="1"/>
        <v>24</v>
      </c>
      <c r="G7" s="13">
        <f t="shared" si="1"/>
        <v>24</v>
      </c>
      <c r="H7" s="13">
        <f t="shared" si="1"/>
        <v>11.05</v>
      </c>
      <c r="I7" s="13">
        <f t="shared" si="1"/>
        <v>18.649999999999999</v>
      </c>
      <c r="J7" s="13">
        <f t="shared" si="1"/>
        <v>8.35</v>
      </c>
      <c r="K7" s="13">
        <f t="shared" si="1"/>
        <v>14.5</v>
      </c>
      <c r="L7" s="13">
        <f t="shared" si="1"/>
        <v>11.95</v>
      </c>
      <c r="M7" s="13">
        <f t="shared" si="1"/>
        <v>14.75</v>
      </c>
      <c r="N7" s="13">
        <f t="shared" si="1"/>
        <v>4</v>
      </c>
      <c r="O7" s="13">
        <f t="shared" si="1"/>
        <v>4</v>
      </c>
      <c r="P7" s="39">
        <f t="shared" si="1"/>
        <v>180.2</v>
      </c>
      <c r="Q7" s="58"/>
      <c r="R7" s="58"/>
    </row>
    <row r="8" spans="1:18" ht="15" thickBot="1" x14ac:dyDescent="0.35">
      <c r="A8" s="54" t="s">
        <v>105</v>
      </c>
      <c r="B8" s="40">
        <v>2</v>
      </c>
      <c r="C8" s="40">
        <v>2</v>
      </c>
      <c r="D8" s="40">
        <v>2</v>
      </c>
      <c r="E8" s="40">
        <v>3</v>
      </c>
      <c r="F8" s="40">
        <v>4</v>
      </c>
      <c r="G8" s="40">
        <v>4</v>
      </c>
      <c r="H8" s="40">
        <v>2</v>
      </c>
      <c r="I8" s="40">
        <v>3</v>
      </c>
      <c r="J8" s="40">
        <v>1</v>
      </c>
      <c r="K8" s="40">
        <v>3</v>
      </c>
      <c r="L8" s="40">
        <v>2</v>
      </c>
      <c r="M8" s="40">
        <v>3</v>
      </c>
      <c r="N8" s="40">
        <v>1</v>
      </c>
      <c r="O8" s="40">
        <v>1</v>
      </c>
      <c r="P8" s="11"/>
    </row>
    <row r="12" spans="1:18" x14ac:dyDescent="0.3">
      <c r="A12" t="s">
        <v>106</v>
      </c>
      <c r="B12">
        <v>89</v>
      </c>
      <c r="C12">
        <v>89</v>
      </c>
      <c r="D12">
        <v>90</v>
      </c>
      <c r="E12">
        <v>140</v>
      </c>
      <c r="F12">
        <v>213</v>
      </c>
      <c r="G12">
        <v>213</v>
      </c>
      <c r="H12">
        <v>94</v>
      </c>
      <c r="I12">
        <v>166</v>
      </c>
      <c r="J12">
        <v>79</v>
      </c>
      <c r="K12">
        <v>128</v>
      </c>
      <c r="L12">
        <v>96</v>
      </c>
      <c r="M12">
        <v>113</v>
      </c>
      <c r="N12">
        <v>20</v>
      </c>
      <c r="O12">
        <v>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274B-29A5-48E6-B0B5-01E053ACFC8C}">
  <dimension ref="A2:S48"/>
  <sheetViews>
    <sheetView topLeftCell="A22" workbookViewId="0">
      <selection activeCell="S37" sqref="S37"/>
    </sheetView>
  </sheetViews>
  <sheetFormatPr defaultRowHeight="14.4" x14ac:dyDescent="0.3"/>
  <cols>
    <col min="1" max="1" width="13.5546875" customWidth="1"/>
    <col min="2" max="2" width="17.5546875" bestFit="1" customWidth="1"/>
    <col min="3" max="3" width="21.33203125" bestFit="1" customWidth="1"/>
    <col min="4" max="4" width="11.44140625" style="224" customWidth="1"/>
    <col min="5" max="5" width="10" customWidth="1"/>
    <col min="13" max="13" width="9.6640625" customWidth="1"/>
    <col min="14" max="14" width="11.5546875" customWidth="1"/>
    <col min="15" max="15" width="10.77734375" bestFit="1" customWidth="1"/>
  </cols>
  <sheetData>
    <row r="2" spans="1:16" ht="55.2" x14ac:dyDescent="0.3">
      <c r="A2" s="340" t="s">
        <v>844</v>
      </c>
      <c r="B2" s="341" t="s">
        <v>845</v>
      </c>
      <c r="C2" s="341" t="s">
        <v>846</v>
      </c>
      <c r="D2" s="380" t="s">
        <v>847</v>
      </c>
      <c r="E2" s="381"/>
      <c r="F2" s="381"/>
      <c r="G2" s="381"/>
      <c r="H2" s="381"/>
      <c r="I2" s="381"/>
      <c r="J2" s="381"/>
      <c r="K2" s="381"/>
      <c r="L2" s="382"/>
      <c r="M2" s="341" t="s">
        <v>848</v>
      </c>
      <c r="N2" s="341" t="s">
        <v>849</v>
      </c>
      <c r="O2" s="342" t="s">
        <v>850</v>
      </c>
    </row>
    <row r="3" spans="1:16" ht="21" x14ac:dyDescent="0.3">
      <c r="A3" s="343"/>
      <c r="B3" s="383" t="s">
        <v>851</v>
      </c>
      <c r="C3" s="384"/>
      <c r="D3" s="384"/>
      <c r="E3" s="384"/>
      <c r="F3" s="385" t="s">
        <v>852</v>
      </c>
      <c r="G3" s="385"/>
      <c r="H3" s="385"/>
      <c r="I3" s="385"/>
      <c r="J3" s="386" t="s">
        <v>853</v>
      </c>
      <c r="K3" s="386"/>
      <c r="L3" s="386"/>
      <c r="M3" s="387"/>
      <c r="N3" s="343"/>
      <c r="O3" s="344"/>
    </row>
    <row r="4" spans="1:16" x14ac:dyDescent="0.3">
      <c r="A4" s="345"/>
      <c r="B4" s="388" t="s">
        <v>854</v>
      </c>
      <c r="C4" s="389"/>
      <c r="D4" s="390" t="s">
        <v>855</v>
      </c>
      <c r="E4" s="390"/>
      <c r="F4" s="390" t="s">
        <v>856</v>
      </c>
      <c r="G4" s="390"/>
      <c r="H4" s="390" t="s">
        <v>857</v>
      </c>
      <c r="I4" s="390"/>
      <c r="J4" s="390" t="s">
        <v>858</v>
      </c>
      <c r="K4" s="390"/>
      <c r="L4" s="388" t="s">
        <v>859</v>
      </c>
      <c r="M4" s="389"/>
      <c r="N4" s="346"/>
      <c r="O4" s="347">
        <f>SUM(O7:O13)</f>
        <v>921</v>
      </c>
    </row>
    <row r="5" spans="1:16" x14ac:dyDescent="0.3">
      <c r="A5" s="342" t="s">
        <v>860</v>
      </c>
      <c r="B5" s="342" t="s">
        <v>861</v>
      </c>
      <c r="C5" s="342" t="s">
        <v>862</v>
      </c>
      <c r="D5" s="342" t="s">
        <v>863</v>
      </c>
      <c r="E5" s="342" t="s">
        <v>864</v>
      </c>
      <c r="F5" s="342" t="s">
        <v>865</v>
      </c>
      <c r="G5" s="342" t="s">
        <v>866</v>
      </c>
      <c r="H5" s="342" t="s">
        <v>867</v>
      </c>
      <c r="I5" s="342" t="s">
        <v>868</v>
      </c>
      <c r="J5" s="342" t="s">
        <v>869</v>
      </c>
      <c r="K5" s="342" t="s">
        <v>870</v>
      </c>
      <c r="L5" s="342" t="s">
        <v>871</v>
      </c>
      <c r="M5" s="342" t="s">
        <v>872</v>
      </c>
      <c r="N5" s="342" t="s">
        <v>873</v>
      </c>
      <c r="O5" s="1"/>
    </row>
    <row r="6" spans="1:16" x14ac:dyDescent="0.3">
      <c r="A6" s="221" t="s">
        <v>874</v>
      </c>
      <c r="B6" s="221"/>
      <c r="C6" s="221">
        <v>2</v>
      </c>
      <c r="D6" s="221">
        <v>2</v>
      </c>
      <c r="E6" s="221">
        <v>2</v>
      </c>
      <c r="F6" s="221">
        <v>2</v>
      </c>
      <c r="G6" s="221">
        <v>2</v>
      </c>
      <c r="H6" s="221">
        <v>2</v>
      </c>
      <c r="I6" s="221">
        <v>2</v>
      </c>
      <c r="J6" s="221">
        <v>2</v>
      </c>
      <c r="K6" s="221">
        <v>2</v>
      </c>
      <c r="L6" s="221">
        <v>2</v>
      </c>
      <c r="M6" s="348">
        <v>1</v>
      </c>
      <c r="N6" s="348">
        <v>1</v>
      </c>
      <c r="O6" s="1"/>
    </row>
    <row r="7" spans="1:16" x14ac:dyDescent="0.3">
      <c r="A7" s="221" t="s">
        <v>875</v>
      </c>
      <c r="B7" s="221">
        <f>B6*5*6</f>
        <v>0</v>
      </c>
      <c r="C7" s="221">
        <f>C6*5*6</f>
        <v>60</v>
      </c>
      <c r="D7" s="221">
        <f t="shared" ref="D7:N7" si="0">D6*5*6</f>
        <v>60</v>
      </c>
      <c r="E7" s="221">
        <f t="shared" si="0"/>
        <v>60</v>
      </c>
      <c r="F7" s="221">
        <f t="shared" si="0"/>
        <v>60</v>
      </c>
      <c r="G7" s="221">
        <f t="shared" si="0"/>
        <v>60</v>
      </c>
      <c r="H7" s="221">
        <f t="shared" si="0"/>
        <v>60</v>
      </c>
      <c r="I7" s="221">
        <f t="shared" si="0"/>
        <v>60</v>
      </c>
      <c r="J7" s="221">
        <f t="shared" si="0"/>
        <v>60</v>
      </c>
      <c r="K7" s="221">
        <f t="shared" si="0"/>
        <v>60</v>
      </c>
      <c r="L7" s="221">
        <f t="shared" si="0"/>
        <v>60</v>
      </c>
      <c r="M7" s="221">
        <f t="shared" si="0"/>
        <v>30</v>
      </c>
      <c r="N7" s="221">
        <f t="shared" si="0"/>
        <v>30</v>
      </c>
      <c r="O7" s="221">
        <f>SUM(B7:N7)</f>
        <v>660</v>
      </c>
      <c r="P7" s="349"/>
    </row>
    <row r="8" spans="1:16" x14ac:dyDescent="0.3">
      <c r="A8" s="221" t="s">
        <v>876</v>
      </c>
      <c r="B8" s="221"/>
      <c r="C8" s="221"/>
      <c r="D8" s="221"/>
      <c r="E8" s="221"/>
      <c r="F8" s="221">
        <v>0.3</v>
      </c>
      <c r="G8" s="221">
        <v>0.3</v>
      </c>
      <c r="H8" s="221">
        <v>0.3</v>
      </c>
      <c r="I8" s="221">
        <v>0.3</v>
      </c>
      <c r="J8" s="221">
        <v>0.3</v>
      </c>
      <c r="K8" s="221">
        <v>0.3</v>
      </c>
      <c r="L8" s="221">
        <v>0.3</v>
      </c>
      <c r="M8" s="221">
        <v>0.3</v>
      </c>
      <c r="N8" s="221">
        <v>0.3</v>
      </c>
      <c r="O8" s="1"/>
    </row>
    <row r="9" spans="1:16" s="224" customFormat="1" x14ac:dyDescent="0.3">
      <c r="A9" s="221" t="s">
        <v>835</v>
      </c>
      <c r="B9" s="221">
        <f>B8*6*5</f>
        <v>0</v>
      </c>
      <c r="C9" s="221">
        <f t="shared" ref="C9:N9" si="1">C8*6*5</f>
        <v>0</v>
      </c>
      <c r="D9" s="221">
        <f t="shared" si="1"/>
        <v>0</v>
      </c>
      <c r="E9" s="221">
        <f t="shared" si="1"/>
        <v>0</v>
      </c>
      <c r="F9" s="221">
        <f t="shared" si="1"/>
        <v>9</v>
      </c>
      <c r="G9" s="221">
        <f t="shared" si="1"/>
        <v>9</v>
      </c>
      <c r="H9" s="221">
        <f t="shared" si="1"/>
        <v>9</v>
      </c>
      <c r="I9" s="221">
        <f t="shared" si="1"/>
        <v>9</v>
      </c>
      <c r="J9" s="221">
        <f t="shared" si="1"/>
        <v>9</v>
      </c>
      <c r="K9" s="221">
        <f t="shared" si="1"/>
        <v>9</v>
      </c>
      <c r="L9" s="221">
        <f t="shared" si="1"/>
        <v>9</v>
      </c>
      <c r="M9" s="221">
        <f t="shared" si="1"/>
        <v>9</v>
      </c>
      <c r="N9" s="221">
        <f t="shared" si="1"/>
        <v>9</v>
      </c>
      <c r="O9" s="221">
        <f>SUM(B9:N9)</f>
        <v>81</v>
      </c>
    </row>
    <row r="10" spans="1:16" s="224" customFormat="1" x14ac:dyDescent="0.3">
      <c r="A10" s="221" t="s">
        <v>61</v>
      </c>
      <c r="B10" s="221">
        <v>0.3</v>
      </c>
      <c r="C10" s="221">
        <v>0.3</v>
      </c>
      <c r="D10" s="221">
        <v>0.3</v>
      </c>
      <c r="E10" s="221">
        <v>0.3</v>
      </c>
      <c r="F10" s="221">
        <v>0.1</v>
      </c>
      <c r="G10" s="221">
        <v>0.1</v>
      </c>
      <c r="H10" s="221">
        <v>0.1</v>
      </c>
      <c r="I10" s="221">
        <v>0.1</v>
      </c>
      <c r="J10" s="221">
        <v>0.1</v>
      </c>
      <c r="K10" s="221">
        <v>0.1</v>
      </c>
      <c r="L10" s="221">
        <v>0.1</v>
      </c>
      <c r="M10" s="221">
        <v>0.1</v>
      </c>
      <c r="N10" s="221">
        <v>0.3</v>
      </c>
      <c r="O10" s="221"/>
    </row>
    <row r="11" spans="1:16" s="224" customFormat="1" x14ac:dyDescent="0.3">
      <c r="A11" s="221" t="s">
        <v>835</v>
      </c>
      <c r="B11" s="221">
        <f>B10*5*6</f>
        <v>9</v>
      </c>
      <c r="C11" s="221">
        <f t="shared" ref="C11:N11" si="2">C10*5*6</f>
        <v>9</v>
      </c>
      <c r="D11" s="221">
        <f t="shared" si="2"/>
        <v>9</v>
      </c>
      <c r="E11" s="221">
        <f t="shared" si="2"/>
        <v>9</v>
      </c>
      <c r="F11" s="221">
        <f t="shared" si="2"/>
        <v>3</v>
      </c>
      <c r="G11" s="221">
        <f t="shared" si="2"/>
        <v>3</v>
      </c>
      <c r="H11" s="221">
        <f t="shared" si="2"/>
        <v>3</v>
      </c>
      <c r="I11" s="221">
        <f t="shared" si="2"/>
        <v>3</v>
      </c>
      <c r="J11" s="221">
        <f t="shared" si="2"/>
        <v>3</v>
      </c>
      <c r="K11" s="221">
        <f t="shared" si="2"/>
        <v>3</v>
      </c>
      <c r="L11" s="221">
        <f t="shared" si="2"/>
        <v>3</v>
      </c>
      <c r="M11" s="221">
        <f t="shared" si="2"/>
        <v>3</v>
      </c>
      <c r="N11" s="221">
        <f t="shared" si="2"/>
        <v>9</v>
      </c>
      <c r="O11" s="221">
        <f>SUM(B11:N11)</f>
        <v>69</v>
      </c>
    </row>
    <row r="12" spans="1:16" x14ac:dyDescent="0.3">
      <c r="A12" s="221" t="s">
        <v>81</v>
      </c>
      <c r="B12" s="221">
        <v>0.3</v>
      </c>
      <c r="C12" s="221">
        <v>0.3</v>
      </c>
      <c r="D12" s="221">
        <v>0.3</v>
      </c>
      <c r="E12" s="221">
        <v>0.3</v>
      </c>
      <c r="F12" s="221">
        <v>0.3</v>
      </c>
      <c r="G12" s="221">
        <v>0.3</v>
      </c>
      <c r="H12" s="221">
        <v>0.3</v>
      </c>
      <c r="I12" s="221">
        <v>0.3</v>
      </c>
      <c r="J12" s="221">
        <v>0.3</v>
      </c>
      <c r="K12" s="221">
        <v>0.3</v>
      </c>
      <c r="L12" s="221">
        <v>0.3</v>
      </c>
      <c r="M12" s="221">
        <v>0.3</v>
      </c>
      <c r="N12" s="221">
        <v>0.1</v>
      </c>
      <c r="O12" s="1"/>
    </row>
    <row r="13" spans="1:16" x14ac:dyDescent="0.3">
      <c r="A13" s="221" t="s">
        <v>835</v>
      </c>
      <c r="B13" s="221">
        <f>B12*5*6</f>
        <v>9</v>
      </c>
      <c r="C13" s="221">
        <f t="shared" ref="C13:N13" si="3">C12*5*6</f>
        <v>9</v>
      </c>
      <c r="D13" s="221">
        <f t="shared" si="3"/>
        <v>9</v>
      </c>
      <c r="E13" s="221">
        <f t="shared" si="3"/>
        <v>9</v>
      </c>
      <c r="F13" s="221">
        <f t="shared" si="3"/>
        <v>9</v>
      </c>
      <c r="G13" s="221">
        <f t="shared" si="3"/>
        <v>9</v>
      </c>
      <c r="H13" s="221">
        <f t="shared" si="3"/>
        <v>9</v>
      </c>
      <c r="I13" s="221">
        <f t="shared" si="3"/>
        <v>9</v>
      </c>
      <c r="J13" s="221">
        <f t="shared" si="3"/>
        <v>9</v>
      </c>
      <c r="K13" s="221">
        <f t="shared" si="3"/>
        <v>9</v>
      </c>
      <c r="L13" s="221">
        <f t="shared" si="3"/>
        <v>9</v>
      </c>
      <c r="M13" s="221">
        <f t="shared" si="3"/>
        <v>9</v>
      </c>
      <c r="N13" s="221">
        <f t="shared" si="3"/>
        <v>3</v>
      </c>
      <c r="O13" s="221">
        <f>SUM(B13:N13)</f>
        <v>111</v>
      </c>
    </row>
    <row r="15" spans="1:16" x14ac:dyDescent="0.3">
      <c r="A15" s="224"/>
    </row>
    <row r="17" spans="1:19" ht="55.2" x14ac:dyDescent="0.3">
      <c r="A17" s="340" t="s">
        <v>73</v>
      </c>
      <c r="B17" s="341" t="s">
        <v>845</v>
      </c>
      <c r="C17" s="341" t="s">
        <v>846</v>
      </c>
      <c r="D17" s="380" t="s">
        <v>847</v>
      </c>
      <c r="E17" s="381"/>
      <c r="F17" s="381"/>
      <c r="G17" s="381"/>
      <c r="H17" s="381"/>
      <c r="I17" s="381"/>
      <c r="J17" s="381"/>
      <c r="K17" s="381"/>
      <c r="L17" s="382"/>
      <c r="M17" s="341" t="s">
        <v>848</v>
      </c>
      <c r="N17" s="341" t="s">
        <v>849</v>
      </c>
      <c r="O17" s="342" t="s">
        <v>850</v>
      </c>
    </row>
    <row r="18" spans="1:19" ht="21" x14ac:dyDescent="0.3">
      <c r="A18" s="343"/>
      <c r="B18" s="383" t="s">
        <v>851</v>
      </c>
      <c r="C18" s="384"/>
      <c r="D18" s="384"/>
      <c r="E18" s="384"/>
      <c r="F18" s="385" t="s">
        <v>852</v>
      </c>
      <c r="G18" s="385"/>
      <c r="H18" s="385"/>
      <c r="I18" s="385"/>
      <c r="J18" s="386" t="s">
        <v>853</v>
      </c>
      <c r="K18" s="386"/>
      <c r="L18" s="386"/>
      <c r="M18" s="387"/>
      <c r="N18" s="343"/>
      <c r="O18" s="344"/>
    </row>
    <row r="19" spans="1:19" x14ac:dyDescent="0.3">
      <c r="A19" s="345"/>
      <c r="B19" s="388" t="s">
        <v>854</v>
      </c>
      <c r="C19" s="389"/>
      <c r="D19" s="390" t="s">
        <v>855</v>
      </c>
      <c r="E19" s="390"/>
      <c r="F19" s="390" t="s">
        <v>856</v>
      </c>
      <c r="G19" s="390"/>
      <c r="H19" s="390" t="s">
        <v>857</v>
      </c>
      <c r="I19" s="390"/>
      <c r="J19" s="390" t="s">
        <v>858</v>
      </c>
      <c r="K19" s="390"/>
      <c r="L19" s="388" t="s">
        <v>859</v>
      </c>
      <c r="M19" s="389"/>
      <c r="N19" s="346"/>
      <c r="O19" s="347">
        <f>SUM(O22:O28)</f>
        <v>1647</v>
      </c>
    </row>
    <row r="20" spans="1:19" x14ac:dyDescent="0.3">
      <c r="A20" s="342" t="s">
        <v>860</v>
      </c>
      <c r="B20" s="342" t="s">
        <v>861</v>
      </c>
      <c r="C20" s="342" t="s">
        <v>862</v>
      </c>
      <c r="D20" s="342" t="s">
        <v>863</v>
      </c>
      <c r="E20" s="342" t="s">
        <v>864</v>
      </c>
      <c r="F20" s="342" t="s">
        <v>865</v>
      </c>
      <c r="G20" s="342" t="s">
        <v>866</v>
      </c>
      <c r="H20" s="342" t="s">
        <v>867</v>
      </c>
      <c r="I20" s="342" t="s">
        <v>868</v>
      </c>
      <c r="J20" s="342" t="s">
        <v>869</v>
      </c>
      <c r="K20" s="342" t="s">
        <v>870</v>
      </c>
      <c r="L20" s="342" t="s">
        <v>871</v>
      </c>
      <c r="M20" s="342" t="s">
        <v>872</v>
      </c>
      <c r="N20" s="342" t="s">
        <v>873</v>
      </c>
      <c r="O20" s="1"/>
    </row>
    <row r="21" spans="1:19" x14ac:dyDescent="0.3">
      <c r="A21" s="221" t="s">
        <v>874</v>
      </c>
      <c r="B21" s="221"/>
      <c r="C21" s="221">
        <v>3</v>
      </c>
      <c r="D21" s="221">
        <v>3</v>
      </c>
      <c r="E21" s="221">
        <v>3</v>
      </c>
      <c r="F21" s="221">
        <v>3</v>
      </c>
      <c r="G21" s="221">
        <v>3</v>
      </c>
      <c r="H21" s="221">
        <v>3</v>
      </c>
      <c r="I21" s="221">
        <v>3</v>
      </c>
      <c r="J21" s="221">
        <v>3</v>
      </c>
      <c r="K21" s="221">
        <v>3</v>
      </c>
      <c r="L21" s="221">
        <v>3</v>
      </c>
      <c r="M21" s="221">
        <v>3</v>
      </c>
      <c r="N21" s="221">
        <v>1</v>
      </c>
      <c r="O21" s="1"/>
    </row>
    <row r="22" spans="1:19" x14ac:dyDescent="0.3">
      <c r="A22" s="221" t="s">
        <v>875</v>
      </c>
      <c r="B22" s="221">
        <f>B21*5*6</f>
        <v>0</v>
      </c>
      <c r="C22" s="221">
        <f t="shared" ref="C22:N22" si="4">C21*5*6</f>
        <v>90</v>
      </c>
      <c r="D22" s="221">
        <f t="shared" si="4"/>
        <v>90</v>
      </c>
      <c r="E22" s="221">
        <f t="shared" si="4"/>
        <v>90</v>
      </c>
      <c r="F22" s="221">
        <f t="shared" si="4"/>
        <v>90</v>
      </c>
      <c r="G22" s="221">
        <f t="shared" si="4"/>
        <v>90</v>
      </c>
      <c r="H22" s="221">
        <f t="shared" si="4"/>
        <v>90</v>
      </c>
      <c r="I22" s="221">
        <f t="shared" si="4"/>
        <v>90</v>
      </c>
      <c r="J22" s="221">
        <f t="shared" si="4"/>
        <v>90</v>
      </c>
      <c r="K22" s="221">
        <f t="shared" si="4"/>
        <v>90</v>
      </c>
      <c r="L22" s="221">
        <f t="shared" si="4"/>
        <v>90</v>
      </c>
      <c r="M22" s="221">
        <f t="shared" si="4"/>
        <v>90</v>
      </c>
      <c r="N22" s="221">
        <f t="shared" si="4"/>
        <v>30</v>
      </c>
      <c r="O22" s="221">
        <f>SUM(B22:N22)</f>
        <v>1020</v>
      </c>
    </row>
    <row r="23" spans="1:19" x14ac:dyDescent="0.3">
      <c r="A23" s="221" t="s">
        <v>876</v>
      </c>
      <c r="B23" s="221"/>
      <c r="C23" s="221"/>
      <c r="D23" s="221"/>
      <c r="E23" s="221"/>
      <c r="F23" s="221">
        <v>1</v>
      </c>
      <c r="G23" s="221">
        <v>1</v>
      </c>
      <c r="H23" s="221">
        <v>1</v>
      </c>
      <c r="I23" s="221">
        <v>1</v>
      </c>
      <c r="J23" s="221">
        <v>1</v>
      </c>
      <c r="K23" s="221">
        <v>1</v>
      </c>
      <c r="L23" s="221">
        <v>1</v>
      </c>
      <c r="M23" s="221">
        <v>1</v>
      </c>
      <c r="N23" s="221">
        <v>0.3</v>
      </c>
      <c r="O23" s="1"/>
    </row>
    <row r="24" spans="1:19" x14ac:dyDescent="0.3">
      <c r="A24" s="221" t="s">
        <v>835</v>
      </c>
      <c r="B24" s="221">
        <f>B23*6*5</f>
        <v>0</v>
      </c>
      <c r="C24" s="221">
        <f t="shared" ref="C24:N24" si="5">C23*6*5</f>
        <v>0</v>
      </c>
      <c r="D24" s="221">
        <f t="shared" si="5"/>
        <v>0</v>
      </c>
      <c r="E24" s="221">
        <f t="shared" si="5"/>
        <v>0</v>
      </c>
      <c r="F24" s="221">
        <f t="shared" si="5"/>
        <v>30</v>
      </c>
      <c r="G24" s="221">
        <f t="shared" si="5"/>
        <v>30</v>
      </c>
      <c r="H24" s="221">
        <f t="shared" si="5"/>
        <v>30</v>
      </c>
      <c r="I24" s="221">
        <f t="shared" si="5"/>
        <v>30</v>
      </c>
      <c r="J24" s="221">
        <f t="shared" si="5"/>
        <v>30</v>
      </c>
      <c r="K24" s="221">
        <f t="shared" si="5"/>
        <v>30</v>
      </c>
      <c r="L24" s="221">
        <f t="shared" si="5"/>
        <v>30</v>
      </c>
      <c r="M24" s="221">
        <f t="shared" si="5"/>
        <v>30</v>
      </c>
      <c r="N24" s="221">
        <f t="shared" si="5"/>
        <v>9</v>
      </c>
      <c r="O24" s="221">
        <f>SUM(B24:N24)</f>
        <v>249</v>
      </c>
    </row>
    <row r="25" spans="1:19" x14ac:dyDescent="0.3">
      <c r="A25" s="221" t="s">
        <v>61</v>
      </c>
      <c r="B25" s="221">
        <v>0.5</v>
      </c>
      <c r="C25" s="221">
        <v>0.5</v>
      </c>
      <c r="D25" s="221">
        <v>0.5</v>
      </c>
      <c r="E25" s="221">
        <v>0.5</v>
      </c>
      <c r="F25" s="221">
        <v>0.5</v>
      </c>
      <c r="G25" s="221">
        <v>0.5</v>
      </c>
      <c r="H25" s="221">
        <v>0.5</v>
      </c>
      <c r="I25" s="221">
        <v>0.5</v>
      </c>
      <c r="J25" s="221">
        <v>0.5</v>
      </c>
      <c r="K25" s="221">
        <v>0.5</v>
      </c>
      <c r="L25" s="221">
        <v>0.5</v>
      </c>
      <c r="M25" s="221">
        <v>0.5</v>
      </c>
      <c r="N25" s="221">
        <v>0.5</v>
      </c>
      <c r="O25" s="221"/>
    </row>
    <row r="26" spans="1:19" x14ac:dyDescent="0.3">
      <c r="A26" s="221" t="s">
        <v>835</v>
      </c>
      <c r="B26" s="221">
        <f>B25*5*6</f>
        <v>15</v>
      </c>
      <c r="C26" s="221">
        <f t="shared" ref="C26:N26" si="6">C25*5*6</f>
        <v>15</v>
      </c>
      <c r="D26" s="221">
        <f t="shared" si="6"/>
        <v>15</v>
      </c>
      <c r="E26" s="221">
        <f t="shared" si="6"/>
        <v>15</v>
      </c>
      <c r="F26" s="221">
        <f t="shared" si="6"/>
        <v>15</v>
      </c>
      <c r="G26" s="221">
        <f t="shared" si="6"/>
        <v>15</v>
      </c>
      <c r="H26" s="221">
        <f t="shared" si="6"/>
        <v>15</v>
      </c>
      <c r="I26" s="221">
        <f t="shared" si="6"/>
        <v>15</v>
      </c>
      <c r="J26" s="221">
        <f t="shared" si="6"/>
        <v>15</v>
      </c>
      <c r="K26" s="221">
        <f t="shared" si="6"/>
        <v>15</v>
      </c>
      <c r="L26" s="221">
        <f t="shared" si="6"/>
        <v>15</v>
      </c>
      <c r="M26" s="221">
        <f t="shared" si="6"/>
        <v>15</v>
      </c>
      <c r="N26" s="221">
        <f t="shared" si="6"/>
        <v>15</v>
      </c>
      <c r="O26" s="221">
        <f>SUM(B26:N26)</f>
        <v>195</v>
      </c>
    </row>
    <row r="27" spans="1:19" x14ac:dyDescent="0.3">
      <c r="A27" s="221" t="s">
        <v>81</v>
      </c>
      <c r="B27" s="221">
        <v>0.5</v>
      </c>
      <c r="C27" s="221">
        <v>0.5</v>
      </c>
      <c r="D27" s="221">
        <v>0.5</v>
      </c>
      <c r="E27" s="221">
        <v>0.5</v>
      </c>
      <c r="F27" s="221">
        <v>0.5</v>
      </c>
      <c r="G27" s="221">
        <v>0.5</v>
      </c>
      <c r="H27" s="221">
        <v>0.5</v>
      </c>
      <c r="I27" s="221">
        <v>0.5</v>
      </c>
      <c r="J27" s="221">
        <v>0.5</v>
      </c>
      <c r="K27" s="221">
        <v>0.5</v>
      </c>
      <c r="L27" s="221">
        <v>0.5</v>
      </c>
      <c r="M27" s="221">
        <v>0.5</v>
      </c>
      <c r="N27" s="221">
        <v>0.1</v>
      </c>
      <c r="O27" s="1"/>
    </row>
    <row r="28" spans="1:19" x14ac:dyDescent="0.3">
      <c r="A28" s="221" t="s">
        <v>835</v>
      </c>
      <c r="B28" s="221">
        <f>B27*5*6</f>
        <v>15</v>
      </c>
      <c r="C28" s="221">
        <f t="shared" ref="C28:N28" si="7">C27*5*6</f>
        <v>15</v>
      </c>
      <c r="D28" s="221">
        <f t="shared" si="7"/>
        <v>15</v>
      </c>
      <c r="E28" s="221">
        <f t="shared" si="7"/>
        <v>15</v>
      </c>
      <c r="F28" s="221">
        <f t="shared" si="7"/>
        <v>15</v>
      </c>
      <c r="G28" s="221">
        <f t="shared" si="7"/>
        <v>15</v>
      </c>
      <c r="H28" s="221">
        <f t="shared" si="7"/>
        <v>15</v>
      </c>
      <c r="I28" s="221">
        <f t="shared" si="7"/>
        <v>15</v>
      </c>
      <c r="J28" s="221">
        <f t="shared" si="7"/>
        <v>15</v>
      </c>
      <c r="K28" s="221">
        <f t="shared" si="7"/>
        <v>15</v>
      </c>
      <c r="L28" s="221">
        <f t="shared" si="7"/>
        <v>15</v>
      </c>
      <c r="M28" s="221">
        <f t="shared" si="7"/>
        <v>15</v>
      </c>
      <c r="N28" s="221">
        <f t="shared" si="7"/>
        <v>3</v>
      </c>
      <c r="O28" s="221">
        <f>SUM(B28:N28)</f>
        <v>183</v>
      </c>
    </row>
    <row r="32" spans="1:19" ht="55.2" x14ac:dyDescent="0.3">
      <c r="A32" s="340" t="s">
        <v>71</v>
      </c>
      <c r="B32" s="341" t="s">
        <v>845</v>
      </c>
      <c r="C32" s="341" t="s">
        <v>846</v>
      </c>
      <c r="D32" s="380" t="s">
        <v>847</v>
      </c>
      <c r="E32" s="381"/>
      <c r="F32" s="381"/>
      <c r="G32" s="381"/>
      <c r="H32" s="381"/>
      <c r="I32" s="381"/>
      <c r="J32" s="381"/>
      <c r="K32" s="381"/>
      <c r="L32" s="382"/>
      <c r="M32" s="341" t="s">
        <v>848</v>
      </c>
      <c r="N32" s="341"/>
      <c r="O32" s="341"/>
      <c r="P32" s="341"/>
      <c r="Q32" s="341"/>
      <c r="R32" s="341" t="s">
        <v>849</v>
      </c>
      <c r="S32" s="342" t="s">
        <v>850</v>
      </c>
    </row>
    <row r="33" spans="1:19" ht="21" x14ac:dyDescent="0.3">
      <c r="A33" s="343"/>
      <c r="B33" s="383" t="s">
        <v>851</v>
      </c>
      <c r="C33" s="384"/>
      <c r="D33" s="384"/>
      <c r="E33" s="384"/>
      <c r="F33" s="385" t="s">
        <v>852</v>
      </c>
      <c r="G33" s="385"/>
      <c r="H33" s="385"/>
      <c r="I33" s="385"/>
      <c r="J33" s="386" t="s">
        <v>853</v>
      </c>
      <c r="K33" s="386"/>
      <c r="L33" s="386"/>
      <c r="M33" s="387"/>
      <c r="N33" s="391" t="s">
        <v>877</v>
      </c>
      <c r="O33" s="392"/>
      <c r="P33" s="392"/>
      <c r="Q33" s="393"/>
      <c r="R33" s="343"/>
      <c r="S33" s="344"/>
    </row>
    <row r="34" spans="1:19" x14ac:dyDescent="0.3">
      <c r="A34" s="345"/>
      <c r="B34" s="388" t="s">
        <v>854</v>
      </c>
      <c r="C34" s="389"/>
      <c r="D34" s="390" t="s">
        <v>855</v>
      </c>
      <c r="E34" s="390"/>
      <c r="F34" s="390" t="s">
        <v>856</v>
      </c>
      <c r="G34" s="390"/>
      <c r="H34" s="390" t="s">
        <v>857</v>
      </c>
      <c r="I34" s="390"/>
      <c r="J34" s="390" t="s">
        <v>858</v>
      </c>
      <c r="K34" s="390"/>
      <c r="L34" s="388" t="s">
        <v>859</v>
      </c>
      <c r="M34" s="389"/>
      <c r="N34" s="388" t="s">
        <v>878</v>
      </c>
      <c r="O34" s="389"/>
      <c r="P34" s="388" t="s">
        <v>879</v>
      </c>
      <c r="Q34" s="389"/>
      <c r="R34" s="346"/>
      <c r="S34" s="347">
        <f>SUM(S37:S43)</f>
        <v>2727</v>
      </c>
    </row>
    <row r="35" spans="1:19" x14ac:dyDescent="0.3">
      <c r="A35" s="342" t="s">
        <v>860</v>
      </c>
      <c r="B35" s="342" t="s">
        <v>861</v>
      </c>
      <c r="C35" s="342" t="s">
        <v>862</v>
      </c>
      <c r="D35" s="342" t="s">
        <v>863</v>
      </c>
      <c r="E35" s="342" t="s">
        <v>864</v>
      </c>
      <c r="F35" s="342" t="s">
        <v>865</v>
      </c>
      <c r="G35" s="342" t="s">
        <v>866</v>
      </c>
      <c r="H35" s="342" t="s">
        <v>867</v>
      </c>
      <c r="I35" s="342" t="s">
        <v>868</v>
      </c>
      <c r="J35" s="342" t="s">
        <v>869</v>
      </c>
      <c r="K35" s="342" t="s">
        <v>870</v>
      </c>
      <c r="L35" s="342" t="s">
        <v>871</v>
      </c>
      <c r="M35" s="342" t="s">
        <v>872</v>
      </c>
      <c r="N35" s="342" t="s">
        <v>873</v>
      </c>
      <c r="O35" s="342" t="s">
        <v>880</v>
      </c>
      <c r="P35" s="342" t="s">
        <v>881</v>
      </c>
      <c r="Q35" s="342" t="s">
        <v>882</v>
      </c>
      <c r="R35" s="342" t="s">
        <v>883</v>
      </c>
      <c r="S35" s="1"/>
    </row>
    <row r="36" spans="1:19" x14ac:dyDescent="0.3">
      <c r="A36" s="221" t="s">
        <v>874</v>
      </c>
      <c r="B36" s="221"/>
      <c r="C36" s="221">
        <v>4</v>
      </c>
      <c r="D36" s="221">
        <v>4</v>
      </c>
      <c r="E36" s="221">
        <v>4</v>
      </c>
      <c r="F36" s="221">
        <v>4</v>
      </c>
      <c r="G36" s="221">
        <v>4</v>
      </c>
      <c r="H36" s="221">
        <v>4</v>
      </c>
      <c r="I36" s="221">
        <v>4</v>
      </c>
      <c r="J36" s="221">
        <v>4</v>
      </c>
      <c r="K36" s="221">
        <v>4</v>
      </c>
      <c r="L36" s="221">
        <v>4</v>
      </c>
      <c r="M36" s="221">
        <v>4</v>
      </c>
      <c r="N36" s="221">
        <v>4</v>
      </c>
      <c r="O36" s="221">
        <v>4</v>
      </c>
      <c r="P36" s="221">
        <v>4</v>
      </c>
      <c r="Q36" s="221">
        <v>4</v>
      </c>
      <c r="R36" s="221">
        <v>2</v>
      </c>
      <c r="S36" s="1"/>
    </row>
    <row r="37" spans="1:19" x14ac:dyDescent="0.3">
      <c r="A37" s="221" t="s">
        <v>875</v>
      </c>
      <c r="B37" s="221">
        <f t="shared" ref="B37:R37" si="8">B36*5*6</f>
        <v>0</v>
      </c>
      <c r="C37" s="221">
        <f t="shared" si="8"/>
        <v>120</v>
      </c>
      <c r="D37" s="221">
        <f t="shared" si="8"/>
        <v>120</v>
      </c>
      <c r="E37" s="221">
        <f t="shared" si="8"/>
        <v>120</v>
      </c>
      <c r="F37" s="221">
        <f t="shared" si="8"/>
        <v>120</v>
      </c>
      <c r="G37" s="221">
        <f t="shared" si="8"/>
        <v>120</v>
      </c>
      <c r="H37" s="221">
        <f t="shared" si="8"/>
        <v>120</v>
      </c>
      <c r="I37" s="221">
        <f t="shared" si="8"/>
        <v>120</v>
      </c>
      <c r="J37" s="221">
        <f t="shared" si="8"/>
        <v>120</v>
      </c>
      <c r="K37" s="221">
        <f t="shared" si="8"/>
        <v>120</v>
      </c>
      <c r="L37" s="221">
        <f t="shared" si="8"/>
        <v>120</v>
      </c>
      <c r="M37" s="221">
        <f t="shared" si="8"/>
        <v>120</v>
      </c>
      <c r="N37" s="221">
        <f t="shared" si="8"/>
        <v>120</v>
      </c>
      <c r="O37" s="221">
        <f t="shared" si="8"/>
        <v>120</v>
      </c>
      <c r="P37" s="221">
        <f t="shared" si="8"/>
        <v>120</v>
      </c>
      <c r="Q37" s="221">
        <f t="shared" si="8"/>
        <v>120</v>
      </c>
      <c r="R37" s="221">
        <f t="shared" si="8"/>
        <v>60</v>
      </c>
      <c r="S37" s="221">
        <f>SUM(B37:R37)</f>
        <v>1860</v>
      </c>
    </row>
    <row r="38" spans="1:19" x14ac:dyDescent="0.3">
      <c r="A38" s="221" t="s">
        <v>876</v>
      </c>
      <c r="B38" s="221"/>
      <c r="C38" s="221"/>
      <c r="D38" s="221"/>
      <c r="E38" s="221"/>
      <c r="F38" s="221">
        <v>1</v>
      </c>
      <c r="G38" s="221">
        <v>1</v>
      </c>
      <c r="H38" s="221">
        <v>1</v>
      </c>
      <c r="I38" s="221">
        <v>1</v>
      </c>
      <c r="J38" s="221">
        <v>1</v>
      </c>
      <c r="K38" s="221">
        <v>1</v>
      </c>
      <c r="L38" s="221">
        <v>1</v>
      </c>
      <c r="M38" s="221">
        <v>1</v>
      </c>
      <c r="N38" s="221">
        <v>1</v>
      </c>
      <c r="O38" s="221">
        <v>1</v>
      </c>
      <c r="P38" s="221">
        <v>1</v>
      </c>
      <c r="Q38" s="221">
        <v>1</v>
      </c>
      <c r="R38" s="221">
        <v>0.3</v>
      </c>
      <c r="S38" s="1"/>
    </row>
    <row r="39" spans="1:19" x14ac:dyDescent="0.3">
      <c r="A39" s="221" t="s">
        <v>835</v>
      </c>
      <c r="B39" s="221">
        <f t="shared" ref="B39:R39" si="9">B38*6*5</f>
        <v>0</v>
      </c>
      <c r="C39" s="221">
        <f t="shared" si="9"/>
        <v>0</v>
      </c>
      <c r="D39" s="221">
        <f t="shared" si="9"/>
        <v>0</v>
      </c>
      <c r="E39" s="221">
        <f t="shared" si="9"/>
        <v>0</v>
      </c>
      <c r="F39" s="221">
        <f t="shared" si="9"/>
        <v>30</v>
      </c>
      <c r="G39" s="221">
        <f t="shared" si="9"/>
        <v>30</v>
      </c>
      <c r="H39" s="221">
        <f t="shared" si="9"/>
        <v>30</v>
      </c>
      <c r="I39" s="221">
        <f t="shared" si="9"/>
        <v>30</v>
      </c>
      <c r="J39" s="221">
        <f t="shared" si="9"/>
        <v>30</v>
      </c>
      <c r="K39" s="221">
        <f t="shared" si="9"/>
        <v>30</v>
      </c>
      <c r="L39" s="221">
        <f t="shared" si="9"/>
        <v>30</v>
      </c>
      <c r="M39" s="221">
        <f t="shared" si="9"/>
        <v>30</v>
      </c>
      <c r="N39" s="221">
        <f t="shared" si="9"/>
        <v>30</v>
      </c>
      <c r="O39" s="221">
        <f t="shared" si="9"/>
        <v>30</v>
      </c>
      <c r="P39" s="221">
        <f t="shared" si="9"/>
        <v>30</v>
      </c>
      <c r="Q39" s="221">
        <f t="shared" si="9"/>
        <v>30</v>
      </c>
      <c r="R39" s="221">
        <f t="shared" si="9"/>
        <v>9</v>
      </c>
      <c r="S39" s="221">
        <f>SUM(B39:R39)</f>
        <v>369</v>
      </c>
    </row>
    <row r="40" spans="1:19" x14ac:dyDescent="0.3">
      <c r="A40" s="221" t="s">
        <v>61</v>
      </c>
      <c r="B40" s="221">
        <v>0.5</v>
      </c>
      <c r="C40" s="221">
        <v>0.5</v>
      </c>
      <c r="D40" s="221">
        <v>0.5</v>
      </c>
      <c r="E40" s="221">
        <v>0.5</v>
      </c>
      <c r="F40" s="221">
        <v>0.5</v>
      </c>
      <c r="G40" s="221">
        <v>0.5</v>
      </c>
      <c r="H40" s="221">
        <v>0.5</v>
      </c>
      <c r="I40" s="221">
        <v>0.5</v>
      </c>
      <c r="J40" s="221">
        <v>0.5</v>
      </c>
      <c r="K40" s="221">
        <v>0.5</v>
      </c>
      <c r="L40" s="221">
        <v>0.5</v>
      </c>
      <c r="M40" s="221">
        <v>0.5</v>
      </c>
      <c r="N40" s="221">
        <v>0.5</v>
      </c>
      <c r="O40" s="221">
        <v>0.5</v>
      </c>
      <c r="P40" s="221">
        <v>0.5</v>
      </c>
      <c r="Q40" s="221">
        <v>0.5</v>
      </c>
      <c r="R40" s="221">
        <v>0.5</v>
      </c>
      <c r="S40" s="221"/>
    </row>
    <row r="41" spans="1:19" x14ac:dyDescent="0.3">
      <c r="A41" s="221" t="s">
        <v>835</v>
      </c>
      <c r="B41" s="221">
        <f t="shared" ref="B41:Q41" si="10">B40*5*6</f>
        <v>15</v>
      </c>
      <c r="C41" s="221">
        <f t="shared" si="10"/>
        <v>15</v>
      </c>
      <c r="D41" s="221">
        <f t="shared" si="10"/>
        <v>15</v>
      </c>
      <c r="E41" s="221">
        <f t="shared" si="10"/>
        <v>15</v>
      </c>
      <c r="F41" s="221">
        <f t="shared" si="10"/>
        <v>15</v>
      </c>
      <c r="G41" s="221">
        <f t="shared" si="10"/>
        <v>15</v>
      </c>
      <c r="H41" s="221">
        <f t="shared" si="10"/>
        <v>15</v>
      </c>
      <c r="I41" s="221">
        <f t="shared" si="10"/>
        <v>15</v>
      </c>
      <c r="J41" s="221">
        <f t="shared" si="10"/>
        <v>15</v>
      </c>
      <c r="K41" s="221">
        <f t="shared" si="10"/>
        <v>15</v>
      </c>
      <c r="L41" s="221">
        <f t="shared" si="10"/>
        <v>15</v>
      </c>
      <c r="M41" s="221">
        <f t="shared" si="10"/>
        <v>15</v>
      </c>
      <c r="N41" s="221">
        <f t="shared" si="10"/>
        <v>15</v>
      </c>
      <c r="O41" s="221">
        <f t="shared" si="10"/>
        <v>15</v>
      </c>
      <c r="P41" s="221">
        <f t="shared" si="10"/>
        <v>15</v>
      </c>
      <c r="Q41" s="221">
        <f t="shared" si="10"/>
        <v>15</v>
      </c>
      <c r="R41" s="221">
        <f>R40*5*6</f>
        <v>15</v>
      </c>
      <c r="S41" s="221">
        <f>SUM(B41:R41)</f>
        <v>255</v>
      </c>
    </row>
    <row r="42" spans="1:19" x14ac:dyDescent="0.3">
      <c r="A42" s="221" t="s">
        <v>81</v>
      </c>
      <c r="B42" s="221">
        <v>0.5</v>
      </c>
      <c r="C42" s="221">
        <v>0.5</v>
      </c>
      <c r="D42" s="221">
        <v>0.5</v>
      </c>
      <c r="E42" s="221">
        <v>0.5</v>
      </c>
      <c r="F42" s="221">
        <v>0.5</v>
      </c>
      <c r="G42" s="221">
        <v>0.5</v>
      </c>
      <c r="H42" s="221">
        <v>0.5</v>
      </c>
      <c r="I42" s="221">
        <v>0.5</v>
      </c>
      <c r="J42" s="221">
        <v>0.5</v>
      </c>
      <c r="K42" s="221">
        <v>0.5</v>
      </c>
      <c r="L42" s="221">
        <v>0.5</v>
      </c>
      <c r="M42" s="221">
        <v>0.5</v>
      </c>
      <c r="N42" s="221">
        <v>0.5</v>
      </c>
      <c r="O42" s="221">
        <v>0.5</v>
      </c>
      <c r="P42" s="221">
        <v>0.5</v>
      </c>
      <c r="Q42" s="221">
        <v>0.5</v>
      </c>
      <c r="R42" s="221">
        <v>0.1</v>
      </c>
      <c r="S42" s="1"/>
    </row>
    <row r="43" spans="1:19" x14ac:dyDescent="0.3">
      <c r="A43" s="221" t="s">
        <v>835</v>
      </c>
      <c r="B43" s="221">
        <f t="shared" ref="B43:Q43" si="11">B42*5*6</f>
        <v>15</v>
      </c>
      <c r="C43" s="221">
        <f t="shared" si="11"/>
        <v>15</v>
      </c>
      <c r="D43" s="221">
        <f t="shared" si="11"/>
        <v>15</v>
      </c>
      <c r="E43" s="221">
        <f t="shared" si="11"/>
        <v>15</v>
      </c>
      <c r="F43" s="221">
        <f t="shared" si="11"/>
        <v>15</v>
      </c>
      <c r="G43" s="221">
        <f t="shared" si="11"/>
        <v>15</v>
      </c>
      <c r="H43" s="221">
        <f t="shared" si="11"/>
        <v>15</v>
      </c>
      <c r="I43" s="221">
        <f t="shared" si="11"/>
        <v>15</v>
      </c>
      <c r="J43" s="221">
        <f t="shared" si="11"/>
        <v>15</v>
      </c>
      <c r="K43" s="221">
        <f t="shared" si="11"/>
        <v>15</v>
      </c>
      <c r="L43" s="221">
        <f t="shared" si="11"/>
        <v>15</v>
      </c>
      <c r="M43" s="221">
        <f t="shared" si="11"/>
        <v>15</v>
      </c>
      <c r="N43" s="221">
        <f t="shared" si="11"/>
        <v>15</v>
      </c>
      <c r="O43" s="221">
        <f t="shared" si="11"/>
        <v>15</v>
      </c>
      <c r="P43" s="221">
        <f t="shared" si="11"/>
        <v>15</v>
      </c>
      <c r="Q43" s="221">
        <f t="shared" si="11"/>
        <v>15</v>
      </c>
      <c r="R43" s="221">
        <f>R42*5*6</f>
        <v>3</v>
      </c>
      <c r="S43" s="221">
        <f>SUM(B43:R43)</f>
        <v>243</v>
      </c>
    </row>
    <row r="47" spans="1:19" ht="18" x14ac:dyDescent="0.35">
      <c r="A47" s="350" t="s">
        <v>884</v>
      </c>
      <c r="B47" s="350"/>
      <c r="C47" s="350"/>
      <c r="D47" s="351"/>
      <c r="E47" s="350"/>
      <c r="F47" s="350"/>
      <c r="G47" s="350"/>
      <c r="H47" s="350"/>
      <c r="I47" s="350"/>
      <c r="J47" s="350"/>
      <c r="K47" s="350"/>
      <c r="L47" s="350"/>
      <c r="M47" s="350"/>
      <c r="N47" s="350"/>
    </row>
    <row r="48" spans="1:19" ht="18" x14ac:dyDescent="0.35">
      <c r="A48" s="350" t="s">
        <v>885</v>
      </c>
    </row>
  </sheetData>
  <mergeCells count="33">
    <mergeCell ref="L34:M34"/>
    <mergeCell ref="N34:O34"/>
    <mergeCell ref="P34:Q34"/>
    <mergeCell ref="D32:L32"/>
    <mergeCell ref="B33:E33"/>
    <mergeCell ref="F33:I33"/>
    <mergeCell ref="J33:M33"/>
    <mergeCell ref="N33:Q33"/>
    <mergeCell ref="B34:C34"/>
    <mergeCell ref="D34:E34"/>
    <mergeCell ref="F34:G34"/>
    <mergeCell ref="H34:I34"/>
    <mergeCell ref="J34:K34"/>
    <mergeCell ref="D17:L17"/>
    <mergeCell ref="B18:E18"/>
    <mergeCell ref="F18:I18"/>
    <mergeCell ref="J18:M18"/>
    <mergeCell ref="B19:C19"/>
    <mergeCell ref="D19:E19"/>
    <mergeCell ref="F19:G19"/>
    <mergeCell ref="H19:I19"/>
    <mergeCell ref="J19:K19"/>
    <mergeCell ref="L19:M19"/>
    <mergeCell ref="D2:L2"/>
    <mergeCell ref="B3:E3"/>
    <mergeCell ref="F3:I3"/>
    <mergeCell ref="J3:M3"/>
    <mergeCell ref="B4:C4"/>
    <mergeCell ref="D4:E4"/>
    <mergeCell ref="F4:G4"/>
    <mergeCell ref="H4:I4"/>
    <mergeCell ref="J4:K4"/>
    <mergeCell ref="L4:M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6F8B-1CBF-4955-9C1A-DE6C45AF4F75}">
  <dimension ref="A1:X25"/>
  <sheetViews>
    <sheetView topLeftCell="B1" zoomScale="93" zoomScaleNormal="94" workbookViewId="0">
      <selection activeCell="B5" sqref="B5"/>
    </sheetView>
  </sheetViews>
  <sheetFormatPr defaultColWidth="7.6640625" defaultRowHeight="14.4" x14ac:dyDescent="0.3"/>
  <cols>
    <col min="1" max="1" width="11" bestFit="1" customWidth="1"/>
    <col min="2" max="2" width="20.6640625" bestFit="1" customWidth="1"/>
    <col min="3" max="3" width="11" bestFit="1" customWidth="1"/>
    <col min="4" max="4" width="10.88671875" bestFit="1" customWidth="1"/>
    <col min="5" max="13" width="10.5546875" bestFit="1" customWidth="1"/>
    <col min="14" max="24" width="11.5546875" bestFit="1" customWidth="1"/>
  </cols>
  <sheetData>
    <row r="1" spans="1:24" ht="28.8" x14ac:dyDescent="0.3">
      <c r="A1" s="110" t="s">
        <v>107</v>
      </c>
      <c r="B1" s="110" t="s">
        <v>108</v>
      </c>
      <c r="C1" s="65" t="s">
        <v>109</v>
      </c>
      <c r="D1" s="115" t="s">
        <v>110</v>
      </c>
      <c r="E1" s="110" t="s">
        <v>111</v>
      </c>
      <c r="F1" s="110" t="s">
        <v>112</v>
      </c>
      <c r="G1" s="110" t="s">
        <v>113</v>
      </c>
      <c r="H1" s="110" t="s">
        <v>114</v>
      </c>
      <c r="I1" s="110" t="s">
        <v>115</v>
      </c>
      <c r="J1" s="110" t="s">
        <v>116</v>
      </c>
      <c r="K1" s="110" t="s">
        <v>117</v>
      </c>
      <c r="L1" s="110" t="s">
        <v>118</v>
      </c>
      <c r="M1" s="110" t="s">
        <v>119</v>
      </c>
      <c r="N1" s="110" t="s">
        <v>120</v>
      </c>
      <c r="O1" s="110" t="s">
        <v>121</v>
      </c>
      <c r="P1" s="110" t="s">
        <v>122</v>
      </c>
      <c r="Q1" s="110" t="s">
        <v>123</v>
      </c>
      <c r="R1" s="110" t="s">
        <v>124</v>
      </c>
      <c r="S1" s="110" t="s">
        <v>125</v>
      </c>
      <c r="T1" s="110" t="s">
        <v>126</v>
      </c>
      <c r="U1" s="110" t="s">
        <v>127</v>
      </c>
      <c r="V1" s="110" t="s">
        <v>128</v>
      </c>
      <c r="W1" s="110" t="s">
        <v>129</v>
      </c>
      <c r="X1" s="110" t="s">
        <v>130</v>
      </c>
    </row>
    <row r="2" spans="1:24" x14ac:dyDescent="0.3">
      <c r="A2" s="67">
        <v>0.66666666666666663</v>
      </c>
      <c r="B2" s="68" t="s">
        <v>60</v>
      </c>
      <c r="C2" s="70">
        <v>9</v>
      </c>
      <c r="D2" s="116">
        <v>5.33</v>
      </c>
      <c r="E2" s="111"/>
      <c r="F2" s="111"/>
      <c r="G2" s="111"/>
      <c r="H2" s="111"/>
      <c r="I2" s="111"/>
      <c r="J2" s="111"/>
      <c r="K2" s="111"/>
      <c r="L2" s="111"/>
      <c r="M2" s="111"/>
      <c r="N2" s="111"/>
      <c r="O2" s="111"/>
      <c r="P2" s="111"/>
      <c r="Q2" s="111"/>
      <c r="R2" s="111"/>
      <c r="S2" s="111"/>
      <c r="T2" s="111"/>
      <c r="U2" s="111"/>
      <c r="V2" s="111"/>
      <c r="W2" s="112"/>
      <c r="X2" s="112"/>
    </row>
    <row r="3" spans="1:24" x14ac:dyDescent="0.3">
      <c r="A3" s="67">
        <v>1</v>
      </c>
      <c r="B3" s="68" t="s">
        <v>131</v>
      </c>
      <c r="C3" s="70">
        <v>8</v>
      </c>
      <c r="D3" s="116">
        <v>8</v>
      </c>
      <c r="E3" s="112"/>
      <c r="F3" s="111"/>
      <c r="G3" s="111"/>
      <c r="H3" s="111"/>
      <c r="I3" s="111"/>
      <c r="J3" s="111"/>
      <c r="K3" s="111"/>
      <c r="L3" s="111"/>
      <c r="M3" s="111"/>
      <c r="N3" s="111"/>
      <c r="O3" s="111"/>
      <c r="P3" s="111"/>
      <c r="Q3" s="111"/>
      <c r="R3" s="111"/>
      <c r="S3" s="111"/>
      <c r="T3" s="111"/>
      <c r="U3" s="111"/>
      <c r="W3" s="112"/>
      <c r="X3" s="112"/>
    </row>
    <row r="4" spans="1:24" x14ac:dyDescent="0.3">
      <c r="A4" s="67">
        <v>1</v>
      </c>
      <c r="B4" s="68" t="s">
        <v>132</v>
      </c>
      <c r="C4" s="70">
        <v>3</v>
      </c>
      <c r="D4" s="116">
        <v>6</v>
      </c>
      <c r="E4" s="111"/>
      <c r="F4" s="111"/>
      <c r="G4" s="111"/>
      <c r="H4" s="111"/>
      <c r="I4" s="111"/>
      <c r="J4" s="111"/>
      <c r="K4" s="112"/>
      <c r="L4" s="112"/>
      <c r="M4" s="112"/>
      <c r="N4" s="112"/>
      <c r="O4" s="112"/>
      <c r="P4" s="112"/>
      <c r="Q4" s="112"/>
    </row>
    <row r="5" spans="1:24" x14ac:dyDescent="0.3">
      <c r="A5" s="67">
        <v>1</v>
      </c>
      <c r="B5" s="68" t="s">
        <v>133</v>
      </c>
      <c r="C5" s="70">
        <v>2</v>
      </c>
      <c r="D5" s="116">
        <v>5.33</v>
      </c>
      <c r="E5" s="111"/>
      <c r="F5" s="111"/>
      <c r="G5" s="111"/>
      <c r="H5" s="111"/>
      <c r="I5" s="111"/>
      <c r="J5" s="111"/>
      <c r="K5" s="111"/>
      <c r="L5" s="111"/>
      <c r="M5" s="111"/>
      <c r="N5" s="111"/>
      <c r="O5" s="111"/>
      <c r="P5" s="111"/>
      <c r="Q5" s="111"/>
      <c r="R5" s="111"/>
      <c r="S5" s="111"/>
      <c r="T5" s="111"/>
      <c r="U5" s="111"/>
      <c r="V5" s="111"/>
    </row>
    <row r="6" spans="1:24" x14ac:dyDescent="0.3">
      <c r="A6" s="113">
        <v>0.66666666666666663</v>
      </c>
      <c r="B6" s="68" t="s">
        <v>64</v>
      </c>
      <c r="C6" s="70">
        <v>9</v>
      </c>
      <c r="D6" s="116">
        <v>5.33</v>
      </c>
      <c r="F6" s="111"/>
      <c r="G6" s="111"/>
      <c r="H6" s="111"/>
      <c r="I6" s="111"/>
      <c r="J6" s="111"/>
      <c r="K6" s="111"/>
      <c r="L6" s="111"/>
      <c r="M6" s="111"/>
      <c r="N6" s="111"/>
      <c r="O6" s="111"/>
      <c r="P6" s="111"/>
      <c r="Q6" s="111"/>
      <c r="R6" s="111"/>
      <c r="S6" s="111"/>
      <c r="T6" s="111"/>
      <c r="U6" s="111"/>
      <c r="V6" s="111"/>
    </row>
    <row r="7" spans="1:24" x14ac:dyDescent="0.3">
      <c r="A7" s="113">
        <v>1</v>
      </c>
      <c r="B7" s="68" t="s">
        <v>134</v>
      </c>
      <c r="C7" s="70">
        <v>8</v>
      </c>
      <c r="D7" s="116">
        <v>8</v>
      </c>
      <c r="G7" s="111"/>
      <c r="H7" s="111"/>
      <c r="I7" s="111"/>
      <c r="J7" s="111"/>
      <c r="K7" s="111"/>
      <c r="L7" s="111"/>
      <c r="M7" s="111"/>
      <c r="N7" s="111"/>
      <c r="O7" s="111"/>
      <c r="P7" s="111"/>
      <c r="Q7" s="111"/>
      <c r="R7" s="111"/>
      <c r="S7" s="111"/>
      <c r="T7" s="111"/>
    </row>
    <row r="8" spans="1:24" x14ac:dyDescent="0.3">
      <c r="A8" s="113">
        <v>1</v>
      </c>
      <c r="B8" s="68" t="s">
        <v>135</v>
      </c>
      <c r="C8" s="70">
        <v>8</v>
      </c>
      <c r="D8" s="116">
        <v>8</v>
      </c>
      <c r="G8" s="111"/>
      <c r="H8" s="111"/>
      <c r="I8" s="111"/>
      <c r="J8" s="111"/>
      <c r="K8" s="111"/>
      <c r="L8" s="111"/>
      <c r="M8" s="111"/>
      <c r="N8" s="111"/>
      <c r="O8" s="111"/>
      <c r="P8" s="111"/>
      <c r="Q8" s="111"/>
      <c r="R8" s="111"/>
      <c r="S8" s="111"/>
      <c r="T8" s="111"/>
    </row>
    <row r="9" spans="1:24" x14ac:dyDescent="0.3">
      <c r="A9" s="67">
        <v>2</v>
      </c>
      <c r="B9" s="68" t="s">
        <v>136</v>
      </c>
      <c r="C9" s="70">
        <v>9</v>
      </c>
      <c r="D9" s="116">
        <v>16</v>
      </c>
      <c r="G9" s="111"/>
      <c r="H9" s="111"/>
      <c r="I9" s="111"/>
      <c r="J9" s="111"/>
      <c r="K9" s="111"/>
      <c r="L9" s="111"/>
      <c r="M9" s="111"/>
      <c r="N9" s="111"/>
      <c r="O9" s="111"/>
      <c r="P9" s="111"/>
      <c r="Q9" s="111"/>
      <c r="R9" s="111"/>
      <c r="S9" s="111"/>
      <c r="T9" s="111"/>
      <c r="U9" s="111"/>
      <c r="V9" s="111"/>
      <c r="W9" s="111"/>
      <c r="X9" s="111"/>
    </row>
    <row r="10" spans="1:24" x14ac:dyDescent="0.3">
      <c r="A10" s="67">
        <v>1</v>
      </c>
      <c r="B10" s="68" t="s">
        <v>137</v>
      </c>
      <c r="C10" s="70">
        <v>9</v>
      </c>
      <c r="D10" s="116">
        <v>8</v>
      </c>
      <c r="G10" s="111"/>
      <c r="H10" s="111"/>
      <c r="I10" s="111"/>
      <c r="J10" s="111"/>
      <c r="K10" s="111"/>
      <c r="L10" s="111"/>
      <c r="M10" s="111"/>
      <c r="N10" s="111"/>
      <c r="O10" s="111"/>
      <c r="P10" s="111"/>
      <c r="Q10" s="111"/>
      <c r="R10" s="111"/>
      <c r="S10" s="111"/>
      <c r="T10" s="111"/>
      <c r="U10" s="111"/>
      <c r="V10" s="111"/>
      <c r="W10" s="111"/>
      <c r="X10" s="111"/>
    </row>
    <row r="11" spans="1:24" x14ac:dyDescent="0.3">
      <c r="A11" s="67">
        <v>0.25</v>
      </c>
      <c r="B11" s="68" t="s">
        <v>138</v>
      </c>
      <c r="C11" s="70">
        <v>7</v>
      </c>
      <c r="D11" s="116">
        <v>2</v>
      </c>
      <c r="G11" s="111"/>
      <c r="H11" s="111"/>
      <c r="I11" s="111"/>
      <c r="J11" s="111"/>
      <c r="K11" s="111"/>
      <c r="L11" s="111"/>
      <c r="M11" s="111"/>
      <c r="N11" s="111"/>
      <c r="O11" s="111"/>
      <c r="P11" s="111"/>
      <c r="Q11" s="111"/>
      <c r="R11" s="111"/>
      <c r="S11" s="111"/>
      <c r="T11" s="111"/>
    </row>
    <row r="12" spans="1:24" x14ac:dyDescent="0.3">
      <c r="A12" s="67">
        <v>1</v>
      </c>
      <c r="B12" s="68" t="s">
        <v>139</v>
      </c>
      <c r="C12" s="70">
        <v>7</v>
      </c>
      <c r="D12" s="116">
        <v>8</v>
      </c>
      <c r="H12" s="111"/>
      <c r="I12" s="111"/>
      <c r="J12" s="111"/>
      <c r="K12" s="111"/>
      <c r="L12" s="111"/>
      <c r="M12" s="111"/>
      <c r="N12" s="111"/>
      <c r="O12" s="111"/>
      <c r="P12" s="111"/>
      <c r="Q12" s="111"/>
      <c r="R12" s="111"/>
      <c r="S12" s="111"/>
      <c r="T12" s="111"/>
      <c r="U12" s="111"/>
    </row>
    <row r="13" spans="1:24" x14ac:dyDescent="0.3">
      <c r="A13" s="67">
        <v>1</v>
      </c>
      <c r="B13" s="68" t="s">
        <v>140</v>
      </c>
      <c r="C13" s="70">
        <v>7</v>
      </c>
      <c r="D13" s="116">
        <v>8</v>
      </c>
      <c r="H13" s="111"/>
      <c r="I13" s="111"/>
      <c r="J13" s="111"/>
      <c r="K13" s="111"/>
      <c r="L13" s="111"/>
      <c r="M13" s="111"/>
      <c r="N13" s="111"/>
      <c r="O13" s="111"/>
      <c r="P13" s="111"/>
      <c r="Q13" s="111"/>
      <c r="R13" s="111"/>
      <c r="S13" s="111"/>
      <c r="T13" s="111"/>
      <c r="U13" s="111"/>
    </row>
    <row r="14" spans="1:24" x14ac:dyDescent="0.3">
      <c r="A14" s="67">
        <v>1</v>
      </c>
      <c r="B14" s="68" t="s">
        <v>141</v>
      </c>
      <c r="C14" s="70">
        <v>8</v>
      </c>
      <c r="D14" s="116">
        <v>8</v>
      </c>
      <c r="F14" s="111"/>
      <c r="G14" s="111"/>
      <c r="H14" s="111"/>
      <c r="I14" s="111"/>
      <c r="J14" s="111"/>
      <c r="K14" s="111"/>
      <c r="L14" s="111"/>
      <c r="M14" s="111"/>
      <c r="N14" s="111"/>
      <c r="O14" s="111"/>
      <c r="P14" s="111"/>
      <c r="Q14" s="111"/>
      <c r="R14" s="111"/>
      <c r="S14" s="111"/>
      <c r="T14" s="111"/>
      <c r="U14" s="111"/>
    </row>
    <row r="15" spans="1:24" x14ac:dyDescent="0.3">
      <c r="A15" s="67">
        <v>1</v>
      </c>
      <c r="B15" s="68" t="s">
        <v>142</v>
      </c>
      <c r="C15" s="70">
        <v>7</v>
      </c>
      <c r="D15" s="116">
        <v>8</v>
      </c>
      <c r="G15" s="111"/>
      <c r="H15" s="111"/>
      <c r="I15" s="111"/>
      <c r="J15" s="111"/>
      <c r="K15" s="111"/>
      <c r="L15" s="111"/>
      <c r="M15" s="111"/>
      <c r="N15" s="111"/>
      <c r="O15" s="111"/>
      <c r="P15" s="111"/>
      <c r="Q15" s="111"/>
      <c r="R15" s="111"/>
      <c r="S15" s="111"/>
      <c r="T15" s="111"/>
    </row>
    <row r="16" spans="1:24" x14ac:dyDescent="0.3">
      <c r="A16" s="67">
        <v>2</v>
      </c>
      <c r="B16" s="68" t="s">
        <v>143</v>
      </c>
      <c r="C16" s="70">
        <v>8</v>
      </c>
      <c r="D16" s="116">
        <v>8</v>
      </c>
      <c r="G16" s="111"/>
      <c r="H16" s="111"/>
      <c r="I16" s="111"/>
      <c r="J16" s="111"/>
      <c r="K16" s="111"/>
      <c r="L16" s="111"/>
      <c r="M16" s="111"/>
      <c r="N16" s="111"/>
      <c r="O16" s="111"/>
      <c r="P16" s="111"/>
      <c r="Q16" s="111"/>
      <c r="R16" s="111"/>
      <c r="S16" s="111"/>
      <c r="T16" s="111"/>
      <c r="U16" s="111"/>
      <c r="V16" s="111"/>
    </row>
    <row r="17" spans="1:21" x14ac:dyDescent="0.3">
      <c r="A17" s="67">
        <v>1</v>
      </c>
      <c r="B17" s="68" t="s">
        <v>144</v>
      </c>
      <c r="C17" s="70">
        <v>8</v>
      </c>
      <c r="D17" s="116">
        <v>8</v>
      </c>
      <c r="H17" s="111"/>
      <c r="I17" s="111"/>
      <c r="J17" s="111"/>
      <c r="K17" s="111"/>
      <c r="L17" s="111"/>
      <c r="M17" s="111"/>
      <c r="N17" s="111"/>
      <c r="O17" s="111"/>
      <c r="P17" s="111"/>
      <c r="Q17" s="111"/>
      <c r="R17" s="111"/>
      <c r="S17" s="111"/>
      <c r="T17" s="111"/>
      <c r="U17" s="111"/>
    </row>
    <row r="18" spans="1:21" x14ac:dyDescent="0.3">
      <c r="A18" s="67">
        <v>1</v>
      </c>
      <c r="B18" s="68" t="s">
        <v>145</v>
      </c>
      <c r="C18" s="70">
        <v>3</v>
      </c>
      <c r="D18" s="116">
        <v>5</v>
      </c>
      <c r="E18" s="111"/>
      <c r="F18" s="111"/>
      <c r="G18" s="111"/>
      <c r="H18" s="111"/>
      <c r="I18" s="111"/>
      <c r="J18" s="111"/>
    </row>
    <row r="19" spans="1:21" x14ac:dyDescent="0.3">
      <c r="A19" s="67">
        <v>1</v>
      </c>
      <c r="B19" s="68" t="s">
        <v>146</v>
      </c>
      <c r="C19" s="70">
        <v>6</v>
      </c>
      <c r="D19" s="116">
        <v>8</v>
      </c>
      <c r="F19" s="112"/>
      <c r="G19" s="111"/>
      <c r="H19" s="111"/>
      <c r="I19" s="111"/>
      <c r="J19" s="111"/>
      <c r="K19" s="111"/>
      <c r="L19" s="111"/>
      <c r="M19" s="111"/>
      <c r="N19" s="111"/>
      <c r="O19" s="111"/>
      <c r="P19" s="111"/>
      <c r="Q19" s="111"/>
      <c r="R19" s="111"/>
    </row>
    <row r="20" spans="1:21" x14ac:dyDescent="0.3">
      <c r="A20" s="67">
        <v>1</v>
      </c>
      <c r="B20" s="68" t="s">
        <v>86</v>
      </c>
      <c r="C20" s="70">
        <v>7</v>
      </c>
      <c r="D20" s="116">
        <v>8</v>
      </c>
      <c r="F20" s="111"/>
      <c r="G20" s="111"/>
      <c r="H20" s="111"/>
      <c r="I20" s="111"/>
      <c r="J20" s="111"/>
      <c r="K20" s="111"/>
      <c r="L20" s="111"/>
      <c r="M20" s="111"/>
      <c r="N20" s="111"/>
      <c r="O20" s="111"/>
      <c r="P20" s="111"/>
      <c r="Q20" s="111"/>
      <c r="R20" s="111"/>
      <c r="S20" s="111"/>
    </row>
    <row r="21" spans="1:21" x14ac:dyDescent="0.3">
      <c r="A21" s="67">
        <v>1</v>
      </c>
      <c r="B21" s="68" t="s">
        <v>147</v>
      </c>
      <c r="C21" s="70">
        <v>7</v>
      </c>
      <c r="D21" s="116">
        <v>8</v>
      </c>
      <c r="H21" s="111"/>
      <c r="I21" s="111"/>
      <c r="J21" s="111"/>
      <c r="K21" s="111"/>
      <c r="L21" s="111"/>
      <c r="M21" s="111"/>
      <c r="N21" s="111"/>
      <c r="O21" s="111"/>
      <c r="P21" s="111"/>
      <c r="Q21" s="111"/>
      <c r="R21" s="111"/>
      <c r="S21" s="111"/>
      <c r="T21" s="111"/>
      <c r="U21" s="111"/>
    </row>
    <row r="22" spans="1:21" x14ac:dyDescent="0.3">
      <c r="A22" s="67">
        <v>1</v>
      </c>
      <c r="B22" s="68" t="s">
        <v>148</v>
      </c>
      <c r="C22" s="70">
        <v>7</v>
      </c>
      <c r="D22" s="116">
        <v>8</v>
      </c>
      <c r="G22" s="111"/>
      <c r="H22" s="111"/>
      <c r="I22" s="111"/>
      <c r="J22" s="111"/>
      <c r="K22" s="111"/>
      <c r="L22" s="111"/>
      <c r="M22" s="111"/>
      <c r="N22" s="111"/>
      <c r="O22" s="111"/>
      <c r="P22" s="111"/>
      <c r="Q22" s="111"/>
      <c r="R22" s="111"/>
      <c r="S22" s="111"/>
      <c r="T22" s="111"/>
    </row>
    <row r="23" spans="1:21" x14ac:dyDescent="0.3">
      <c r="A23" s="67">
        <v>1</v>
      </c>
      <c r="B23" s="68" t="s">
        <v>149</v>
      </c>
      <c r="C23" s="70">
        <v>6</v>
      </c>
      <c r="D23" s="116">
        <v>8</v>
      </c>
      <c r="G23" s="111"/>
      <c r="H23" s="111"/>
      <c r="I23" s="111"/>
      <c r="J23" s="111"/>
      <c r="K23" s="111"/>
      <c r="L23" s="111"/>
      <c r="M23" s="111"/>
      <c r="N23" s="111"/>
      <c r="O23" s="111"/>
      <c r="P23" s="111"/>
      <c r="Q23" s="111"/>
      <c r="R23" s="111"/>
    </row>
    <row r="25" spans="1:21" x14ac:dyDescent="0.3">
      <c r="F25" s="114"/>
    </row>
  </sheetData>
  <phoneticPr fontId="1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01BB7-10DD-4A81-9DD5-BD3A669514D1}">
  <dimension ref="A1:Q171"/>
  <sheetViews>
    <sheetView topLeftCell="A150" workbookViewId="0">
      <selection activeCell="D171" sqref="D171"/>
    </sheetView>
  </sheetViews>
  <sheetFormatPr defaultColWidth="9.109375" defaultRowHeight="15" customHeight="1" x14ac:dyDescent="0.3"/>
  <cols>
    <col min="1" max="1" width="20.33203125" style="276" customWidth="1"/>
    <col min="2" max="2" width="27" style="218" customWidth="1"/>
    <col min="3" max="3" width="31.5546875" style="218" customWidth="1"/>
    <col min="4" max="4" width="36.5546875" style="219" customWidth="1"/>
    <col min="5" max="5" width="33.5546875" style="219" customWidth="1"/>
    <col min="6" max="9" width="9.109375" style="193"/>
    <col min="10" max="10" width="16.33203125" style="193" customWidth="1"/>
    <col min="11" max="11" width="9.109375" style="193"/>
    <col min="12" max="12" width="14.109375" style="193" customWidth="1"/>
    <col min="13" max="13" width="12" style="193" customWidth="1"/>
    <col min="14" max="16384" width="9.109375" style="193"/>
  </cols>
  <sheetData>
    <row r="1" spans="1:17" ht="14.4" x14ac:dyDescent="0.3">
      <c r="A1" s="197" t="s">
        <v>150</v>
      </c>
      <c r="B1" s="190" t="s">
        <v>1</v>
      </c>
      <c r="C1" s="190" t="s">
        <v>151</v>
      </c>
      <c r="D1" s="191" t="s">
        <v>3</v>
      </c>
      <c r="E1" s="191" t="s">
        <v>152</v>
      </c>
      <c r="F1" s="169" t="s">
        <v>81</v>
      </c>
      <c r="G1" s="169" t="s">
        <v>61</v>
      </c>
      <c r="H1" s="169" t="s">
        <v>82</v>
      </c>
      <c r="I1" s="169" t="s">
        <v>83</v>
      </c>
      <c r="J1" s="192" t="s">
        <v>84</v>
      </c>
      <c r="K1" s="192" t="s">
        <v>85</v>
      </c>
      <c r="L1" s="169" t="s">
        <v>153</v>
      </c>
      <c r="M1" s="169" t="s">
        <v>87</v>
      </c>
      <c r="N1" s="169" t="s">
        <v>88</v>
      </c>
      <c r="O1" s="169" t="s">
        <v>89</v>
      </c>
      <c r="P1" s="169" t="s">
        <v>90</v>
      </c>
      <c r="Q1" s="169" t="s">
        <v>91</v>
      </c>
    </row>
    <row r="2" spans="1:17" ht="28.8" x14ac:dyDescent="0.3">
      <c r="A2" s="197"/>
      <c r="B2" s="194" t="s">
        <v>154</v>
      </c>
      <c r="C2" s="195"/>
      <c r="D2" s="195"/>
      <c r="E2" s="196"/>
      <c r="F2" s="197"/>
      <c r="G2" s="197"/>
      <c r="H2" s="197"/>
      <c r="I2" s="197"/>
      <c r="J2" s="174"/>
      <c r="K2" s="174"/>
      <c r="L2" s="174"/>
      <c r="M2" s="174"/>
      <c r="N2" s="174"/>
      <c r="O2" s="174"/>
      <c r="P2" s="174"/>
      <c r="Q2" s="174"/>
    </row>
    <row r="3" spans="1:17" ht="14.4" x14ac:dyDescent="0.3">
      <c r="A3" s="197"/>
      <c r="B3" s="195" t="s">
        <v>155</v>
      </c>
      <c r="C3" s="198" t="s">
        <v>156</v>
      </c>
      <c r="D3" s="173" t="s">
        <v>157</v>
      </c>
      <c r="E3" s="196"/>
      <c r="F3" s="174">
        <v>1</v>
      </c>
      <c r="G3" s="174">
        <v>1</v>
      </c>
      <c r="H3" s="174"/>
      <c r="I3" s="174">
        <v>1</v>
      </c>
      <c r="J3" s="174">
        <v>1</v>
      </c>
      <c r="K3" s="174">
        <v>1</v>
      </c>
      <c r="L3" s="174"/>
      <c r="M3" s="174"/>
      <c r="N3" s="174"/>
      <c r="O3" s="174"/>
      <c r="P3" s="174"/>
      <c r="Q3" s="174"/>
    </row>
    <row r="4" spans="1:17" ht="14.4" x14ac:dyDescent="0.3">
      <c r="A4" s="197"/>
      <c r="B4" s="196"/>
      <c r="C4" s="196"/>
      <c r="D4" s="173" t="s">
        <v>158</v>
      </c>
      <c r="E4" s="196"/>
      <c r="F4" s="174"/>
      <c r="G4" s="174"/>
      <c r="H4" s="174"/>
      <c r="I4" s="174"/>
      <c r="J4" s="174">
        <v>1</v>
      </c>
      <c r="K4" s="174">
        <v>1</v>
      </c>
      <c r="L4" s="174"/>
      <c r="M4" s="174"/>
      <c r="N4" s="174"/>
      <c r="O4" s="174"/>
      <c r="P4" s="174"/>
      <c r="Q4" s="174"/>
    </row>
    <row r="5" spans="1:17" ht="14.4" x14ac:dyDescent="0.3">
      <c r="A5" s="197"/>
      <c r="B5" s="196"/>
      <c r="C5" s="196"/>
      <c r="D5" s="173" t="s">
        <v>159</v>
      </c>
      <c r="E5" s="196"/>
      <c r="F5" s="174"/>
      <c r="G5" s="174"/>
      <c r="H5" s="174"/>
      <c r="I5" s="174"/>
      <c r="J5" s="174">
        <v>6</v>
      </c>
      <c r="K5" s="174">
        <v>6</v>
      </c>
      <c r="L5" s="174"/>
      <c r="M5" s="174"/>
      <c r="N5" s="174"/>
      <c r="O5" s="174"/>
      <c r="P5" s="174"/>
      <c r="Q5" s="174"/>
    </row>
    <row r="6" spans="1:17" ht="14.4" x14ac:dyDescent="0.3">
      <c r="A6" s="197"/>
      <c r="B6" s="196"/>
      <c r="C6" s="196"/>
      <c r="D6" s="173" t="s">
        <v>160</v>
      </c>
      <c r="E6" s="196"/>
      <c r="F6" s="174"/>
      <c r="G6" s="174"/>
      <c r="H6" s="174"/>
      <c r="I6" s="174"/>
      <c r="J6" s="174">
        <v>4</v>
      </c>
      <c r="K6" s="174">
        <v>4</v>
      </c>
      <c r="L6" s="174"/>
      <c r="M6" s="174"/>
      <c r="N6" s="174"/>
      <c r="O6" s="174"/>
      <c r="P6" s="174"/>
      <c r="Q6" s="174"/>
    </row>
    <row r="7" spans="1:17" ht="14.4" x14ac:dyDescent="0.3">
      <c r="A7" s="197"/>
      <c r="B7" s="196"/>
      <c r="C7" s="196"/>
      <c r="D7" s="173" t="s">
        <v>161</v>
      </c>
      <c r="E7" s="196"/>
      <c r="F7" s="174"/>
      <c r="G7" s="174"/>
      <c r="H7" s="174"/>
      <c r="I7" s="174"/>
      <c r="J7" s="174">
        <v>2</v>
      </c>
      <c r="K7" s="174">
        <v>2</v>
      </c>
      <c r="L7" s="174"/>
      <c r="M7" s="174"/>
      <c r="N7" s="174"/>
      <c r="O7" s="174"/>
      <c r="P7" s="174"/>
      <c r="Q7" s="174"/>
    </row>
    <row r="8" spans="1:17" ht="14.4" x14ac:dyDescent="0.3">
      <c r="A8" s="197"/>
      <c r="B8" s="196"/>
      <c r="C8" s="196"/>
      <c r="D8" s="196"/>
      <c r="E8" s="196"/>
      <c r="F8" s="174"/>
      <c r="G8" s="174"/>
      <c r="H8" s="174"/>
      <c r="I8" s="174"/>
      <c r="J8" s="174"/>
      <c r="K8" s="174"/>
      <c r="L8" s="174"/>
      <c r="M8" s="174"/>
      <c r="N8" s="174"/>
      <c r="O8" s="174"/>
      <c r="P8" s="174"/>
      <c r="Q8" s="174"/>
    </row>
    <row r="9" spans="1:17" ht="14.4" x14ac:dyDescent="0.3">
      <c r="A9" s="197"/>
      <c r="B9" s="199" t="s">
        <v>162</v>
      </c>
      <c r="C9" s="198"/>
      <c r="D9" s="177"/>
      <c r="E9" s="177"/>
      <c r="F9" s="174"/>
      <c r="G9" s="200"/>
      <c r="H9" s="174"/>
      <c r="I9" s="174"/>
      <c r="J9" s="174"/>
      <c r="K9" s="174"/>
      <c r="L9" s="174"/>
      <c r="M9" s="174"/>
      <c r="N9" s="174"/>
      <c r="O9" s="174"/>
      <c r="P9" s="174"/>
      <c r="Q9" s="174"/>
    </row>
    <row r="10" spans="1:17" ht="14.4" x14ac:dyDescent="0.3">
      <c r="A10" s="197" t="s">
        <v>163</v>
      </c>
      <c r="B10" s="198"/>
      <c r="C10" s="198" t="s">
        <v>163</v>
      </c>
      <c r="D10" s="177" t="s">
        <v>164</v>
      </c>
      <c r="E10" s="177"/>
      <c r="F10" s="174">
        <v>1</v>
      </c>
      <c r="G10" s="200">
        <v>1</v>
      </c>
      <c r="H10" s="174"/>
      <c r="I10" s="174">
        <v>1</v>
      </c>
      <c r="J10" s="174">
        <v>3</v>
      </c>
      <c r="K10" s="174">
        <v>3</v>
      </c>
      <c r="L10" s="174">
        <v>3</v>
      </c>
      <c r="M10" s="174"/>
      <c r="N10" s="174"/>
      <c r="O10" s="174"/>
      <c r="P10" s="174"/>
      <c r="Q10" s="174"/>
    </row>
    <row r="11" spans="1:17" ht="14.4" x14ac:dyDescent="0.3">
      <c r="A11" s="197"/>
      <c r="B11" s="198"/>
      <c r="C11" s="198"/>
      <c r="D11" s="201"/>
      <c r="E11" s="177"/>
      <c r="F11" s="174"/>
      <c r="G11" s="200"/>
      <c r="H11" s="174"/>
      <c r="I11" s="174"/>
      <c r="J11" s="174"/>
      <c r="K11" s="174"/>
      <c r="L11" s="174"/>
      <c r="M11" s="174"/>
      <c r="N11" s="174"/>
      <c r="O11" s="174"/>
      <c r="P11" s="174"/>
      <c r="Q11" s="174"/>
    </row>
    <row r="12" spans="1:17" ht="14.4" x14ac:dyDescent="0.3">
      <c r="A12" s="197"/>
      <c r="B12" s="198"/>
      <c r="C12" s="198"/>
      <c r="D12" s="177"/>
      <c r="E12" s="177"/>
      <c r="F12" s="174"/>
      <c r="G12" s="200"/>
      <c r="H12" s="174"/>
      <c r="I12" s="174"/>
      <c r="J12" s="174"/>
      <c r="K12" s="174"/>
      <c r="L12" s="174"/>
      <c r="M12" s="174"/>
      <c r="N12" s="174"/>
      <c r="O12" s="174"/>
      <c r="P12" s="174"/>
      <c r="Q12" s="174"/>
    </row>
    <row r="13" spans="1:17" ht="14.4" x14ac:dyDescent="0.3">
      <c r="A13" s="197" t="s">
        <v>165</v>
      </c>
      <c r="B13" s="198"/>
      <c r="C13" s="198" t="s">
        <v>165</v>
      </c>
      <c r="D13" s="177" t="s">
        <v>166</v>
      </c>
      <c r="E13" s="177"/>
      <c r="F13" s="174">
        <v>1</v>
      </c>
      <c r="G13" s="200">
        <v>1</v>
      </c>
      <c r="H13" s="174"/>
      <c r="I13" s="174">
        <v>1</v>
      </c>
      <c r="J13" s="174">
        <v>1</v>
      </c>
      <c r="K13" s="174">
        <v>1</v>
      </c>
      <c r="L13" s="174">
        <v>3</v>
      </c>
      <c r="M13" s="174"/>
      <c r="N13" s="174"/>
      <c r="O13" s="174"/>
      <c r="P13" s="174"/>
      <c r="Q13" s="174"/>
    </row>
    <row r="14" spans="1:17" ht="14.4" x14ac:dyDescent="0.3">
      <c r="A14" s="197"/>
      <c r="B14" s="198"/>
      <c r="C14" s="198"/>
      <c r="D14" s="177" t="s">
        <v>167</v>
      </c>
      <c r="E14" s="177" t="s">
        <v>168</v>
      </c>
      <c r="F14" s="174"/>
      <c r="G14" s="200"/>
      <c r="H14" s="174"/>
      <c r="I14" s="174"/>
      <c r="J14" s="174">
        <v>5</v>
      </c>
      <c r="K14" s="174">
        <v>5</v>
      </c>
      <c r="L14" s="174"/>
      <c r="M14" s="174"/>
      <c r="N14" s="174"/>
      <c r="O14" s="174"/>
      <c r="P14" s="174"/>
      <c r="Q14" s="174"/>
    </row>
    <row r="15" spans="1:17" ht="28.8" x14ac:dyDescent="0.3">
      <c r="A15" s="197"/>
      <c r="B15" s="198"/>
      <c r="C15" s="198"/>
      <c r="D15" s="177" t="s">
        <v>169</v>
      </c>
      <c r="E15" s="177" t="s">
        <v>168</v>
      </c>
      <c r="F15" s="174"/>
      <c r="G15" s="200"/>
      <c r="H15" s="174"/>
      <c r="I15" s="174"/>
      <c r="J15" s="174">
        <v>5</v>
      </c>
      <c r="K15" s="174">
        <v>5</v>
      </c>
      <c r="L15" s="174"/>
      <c r="M15" s="174"/>
      <c r="N15" s="174"/>
      <c r="O15" s="174"/>
      <c r="P15" s="174"/>
      <c r="Q15" s="174"/>
    </row>
    <row r="16" spans="1:17" ht="28.8" x14ac:dyDescent="0.3">
      <c r="A16" s="197"/>
      <c r="B16" s="198"/>
      <c r="C16" s="198"/>
      <c r="D16" s="177" t="s">
        <v>170</v>
      </c>
      <c r="E16" s="177"/>
      <c r="F16" s="174"/>
      <c r="G16" s="200"/>
      <c r="H16" s="174"/>
      <c r="I16" s="174"/>
      <c r="J16" s="174">
        <v>2.5</v>
      </c>
      <c r="K16" s="174">
        <v>2.5</v>
      </c>
      <c r="L16" s="174"/>
      <c r="M16" s="174"/>
      <c r="N16" s="174"/>
      <c r="O16" s="174"/>
      <c r="P16" s="174"/>
      <c r="Q16" s="174"/>
    </row>
    <row r="17" spans="1:17" ht="14.4" x14ac:dyDescent="0.3">
      <c r="A17" s="197"/>
      <c r="B17" s="198"/>
      <c r="C17" s="198"/>
      <c r="D17" s="177" t="s">
        <v>171</v>
      </c>
      <c r="E17" s="177"/>
      <c r="F17" s="174"/>
      <c r="G17" s="200"/>
      <c r="H17" s="174"/>
      <c r="I17" s="174"/>
      <c r="J17" s="174">
        <v>2</v>
      </c>
      <c r="K17" s="174">
        <v>2</v>
      </c>
      <c r="L17" s="174"/>
      <c r="M17" s="174"/>
      <c r="N17" s="174"/>
      <c r="O17" s="174"/>
      <c r="P17" s="174"/>
      <c r="Q17" s="174"/>
    </row>
    <row r="18" spans="1:17" ht="14.4" x14ac:dyDescent="0.3">
      <c r="A18" s="197"/>
      <c r="B18" s="198"/>
      <c r="C18" s="198"/>
      <c r="D18" s="177"/>
      <c r="E18" s="177"/>
      <c r="F18" s="174"/>
      <c r="G18" s="200"/>
      <c r="H18" s="174"/>
      <c r="I18" s="174"/>
      <c r="J18" s="174"/>
      <c r="K18" s="174"/>
      <c r="L18" s="174"/>
      <c r="M18" s="174"/>
      <c r="N18" s="174"/>
      <c r="O18" s="174"/>
      <c r="P18" s="174"/>
      <c r="Q18" s="174"/>
    </row>
    <row r="19" spans="1:17" ht="28.8" x14ac:dyDescent="0.3">
      <c r="A19" s="197" t="s">
        <v>172</v>
      </c>
      <c r="B19" s="198"/>
      <c r="C19" s="198" t="s">
        <v>173</v>
      </c>
      <c r="D19" s="177" t="s">
        <v>174</v>
      </c>
      <c r="E19" s="177"/>
      <c r="F19" s="174">
        <v>1</v>
      </c>
      <c r="G19" s="200">
        <v>1</v>
      </c>
      <c r="H19" s="174"/>
      <c r="I19" s="174">
        <v>1</v>
      </c>
      <c r="J19" s="174">
        <v>2</v>
      </c>
      <c r="K19" s="174">
        <v>2</v>
      </c>
      <c r="L19" s="174">
        <v>3</v>
      </c>
      <c r="M19" s="174"/>
      <c r="N19" s="174"/>
      <c r="O19" s="174"/>
      <c r="P19" s="174"/>
      <c r="Q19" s="174"/>
    </row>
    <row r="20" spans="1:17" ht="28.8" x14ac:dyDescent="0.3">
      <c r="A20" s="197"/>
      <c r="B20" s="198"/>
      <c r="C20" s="198"/>
      <c r="D20" s="177" t="s">
        <v>175</v>
      </c>
      <c r="E20" s="177"/>
      <c r="F20" s="174"/>
      <c r="G20" s="200"/>
      <c r="H20" s="174"/>
      <c r="I20" s="174"/>
      <c r="J20" s="174">
        <v>1</v>
      </c>
      <c r="K20" s="174">
        <v>2</v>
      </c>
      <c r="L20" s="174"/>
      <c r="M20" s="174"/>
      <c r="N20" s="174"/>
      <c r="O20" s="174"/>
      <c r="P20" s="174"/>
      <c r="Q20" s="174"/>
    </row>
    <row r="21" spans="1:17" ht="28.8" x14ac:dyDescent="0.3">
      <c r="A21" s="197"/>
      <c r="B21" s="198"/>
      <c r="C21" s="198"/>
      <c r="D21" s="177" t="s">
        <v>176</v>
      </c>
      <c r="E21" s="177"/>
      <c r="F21" s="174"/>
      <c r="G21" s="200"/>
      <c r="H21" s="174"/>
      <c r="I21" s="174"/>
      <c r="J21" s="174">
        <v>2</v>
      </c>
      <c r="K21" s="174">
        <v>2</v>
      </c>
      <c r="L21" s="174"/>
      <c r="M21" s="174"/>
      <c r="N21" s="174"/>
      <c r="O21" s="174"/>
      <c r="P21" s="174"/>
      <c r="Q21" s="174"/>
    </row>
    <row r="22" spans="1:17" ht="14.4" x14ac:dyDescent="0.3">
      <c r="A22" s="197"/>
      <c r="B22" s="198"/>
      <c r="C22" s="198"/>
      <c r="D22" s="177" t="s">
        <v>177</v>
      </c>
      <c r="E22" s="177"/>
      <c r="F22" s="174"/>
      <c r="G22" s="200"/>
      <c r="H22" s="174"/>
      <c r="I22" s="174"/>
      <c r="J22" s="174">
        <v>1.5</v>
      </c>
      <c r="K22" s="174">
        <v>1.5</v>
      </c>
      <c r="L22" s="174"/>
      <c r="M22" s="174"/>
      <c r="N22" s="174"/>
      <c r="O22" s="174"/>
      <c r="P22" s="174"/>
      <c r="Q22" s="174"/>
    </row>
    <row r="23" spans="1:17" ht="14.4" x14ac:dyDescent="0.3">
      <c r="A23" s="197"/>
      <c r="B23" s="198"/>
      <c r="C23" s="198"/>
      <c r="D23" s="177"/>
      <c r="E23" s="177"/>
      <c r="F23" s="174"/>
      <c r="G23" s="200"/>
      <c r="H23" s="174"/>
      <c r="I23" s="174"/>
      <c r="J23" s="174"/>
      <c r="K23" s="174"/>
      <c r="L23" s="174"/>
      <c r="M23" s="174"/>
      <c r="N23" s="174"/>
      <c r="O23" s="174"/>
      <c r="P23" s="174"/>
      <c r="Q23" s="174"/>
    </row>
    <row r="24" spans="1:17" ht="28.8" x14ac:dyDescent="0.3">
      <c r="A24" s="197" t="s">
        <v>178</v>
      </c>
      <c r="B24" s="198"/>
      <c r="C24" s="198" t="s">
        <v>179</v>
      </c>
      <c r="D24" s="177" t="s">
        <v>174</v>
      </c>
      <c r="E24" s="177"/>
      <c r="F24" s="174">
        <v>1</v>
      </c>
      <c r="G24" s="200">
        <v>1</v>
      </c>
      <c r="H24" s="174"/>
      <c r="I24" s="174">
        <v>1</v>
      </c>
      <c r="J24" s="174">
        <v>2</v>
      </c>
      <c r="K24" s="174">
        <v>2</v>
      </c>
      <c r="L24" s="174">
        <v>3</v>
      </c>
      <c r="M24" s="174"/>
      <c r="N24" s="174"/>
      <c r="O24" s="174"/>
      <c r="P24" s="174"/>
      <c r="Q24" s="174"/>
    </row>
    <row r="25" spans="1:17" ht="14.4" x14ac:dyDescent="0.3">
      <c r="A25" s="197"/>
      <c r="B25" s="198"/>
      <c r="C25" s="198"/>
      <c r="D25" s="177" t="s">
        <v>180</v>
      </c>
      <c r="E25" s="177"/>
      <c r="F25" s="174"/>
      <c r="G25" s="200"/>
      <c r="H25" s="174"/>
      <c r="I25" s="174"/>
      <c r="J25" s="174">
        <v>2</v>
      </c>
      <c r="K25" s="174">
        <v>2</v>
      </c>
      <c r="L25" s="174"/>
      <c r="M25" s="174"/>
      <c r="N25" s="174"/>
      <c r="O25" s="174"/>
      <c r="P25" s="174"/>
      <c r="Q25" s="174"/>
    </row>
    <row r="26" spans="1:17" ht="72" x14ac:dyDescent="0.3">
      <c r="A26" s="197"/>
      <c r="B26" s="198"/>
      <c r="C26" s="198"/>
      <c r="D26" s="177" t="s">
        <v>181</v>
      </c>
      <c r="E26" s="177" t="s">
        <v>182</v>
      </c>
      <c r="F26" s="174"/>
      <c r="G26" s="200"/>
      <c r="H26" s="174"/>
      <c r="I26" s="174"/>
      <c r="J26" s="174">
        <v>2</v>
      </c>
      <c r="K26" s="174">
        <v>2</v>
      </c>
      <c r="L26" s="174"/>
      <c r="M26" s="174"/>
      <c r="N26" s="174"/>
      <c r="O26" s="174"/>
      <c r="P26" s="174"/>
      <c r="Q26" s="174"/>
    </row>
    <row r="27" spans="1:17" ht="57.6" x14ac:dyDescent="0.3">
      <c r="A27" s="197"/>
      <c r="B27" s="198"/>
      <c r="C27" s="198"/>
      <c r="D27" s="177" t="s">
        <v>183</v>
      </c>
      <c r="E27" s="201" t="s">
        <v>184</v>
      </c>
      <c r="F27" s="174"/>
      <c r="G27" s="200"/>
      <c r="H27" s="174"/>
      <c r="I27" s="174"/>
      <c r="J27" s="174">
        <v>1.5</v>
      </c>
      <c r="K27" s="174">
        <v>1.5</v>
      </c>
      <c r="L27" s="174"/>
      <c r="M27" s="174"/>
      <c r="N27" s="174"/>
      <c r="O27" s="174"/>
      <c r="P27" s="174"/>
      <c r="Q27" s="174"/>
    </row>
    <row r="28" spans="1:17" ht="14.4" x14ac:dyDescent="0.3">
      <c r="A28" s="197"/>
      <c r="B28" s="198"/>
      <c r="C28" s="198"/>
      <c r="D28" s="177"/>
      <c r="E28" s="177"/>
      <c r="F28" s="174"/>
      <c r="G28" s="200"/>
      <c r="H28" s="174"/>
      <c r="I28" s="174"/>
      <c r="J28" s="174"/>
      <c r="K28" s="174"/>
      <c r="L28" s="174"/>
      <c r="M28" s="174"/>
      <c r="N28" s="174"/>
      <c r="O28" s="174"/>
      <c r="P28" s="174"/>
      <c r="Q28" s="174"/>
    </row>
    <row r="29" spans="1:17" ht="14.4" x14ac:dyDescent="0.3">
      <c r="A29" s="197"/>
      <c r="B29" s="198"/>
      <c r="C29" s="198" t="s">
        <v>15</v>
      </c>
      <c r="D29" s="177" t="s">
        <v>185</v>
      </c>
      <c r="E29" s="177"/>
      <c r="F29" s="174"/>
      <c r="G29" s="200"/>
      <c r="H29" s="174"/>
      <c r="I29" s="174"/>
      <c r="J29" s="174"/>
      <c r="K29" s="174"/>
      <c r="L29" s="174"/>
      <c r="M29" s="174"/>
      <c r="N29" s="174"/>
      <c r="O29" s="174"/>
      <c r="P29" s="174"/>
      <c r="Q29" s="174"/>
    </row>
    <row r="30" spans="1:17" ht="144" x14ac:dyDescent="0.3">
      <c r="A30" s="202" t="s">
        <v>186</v>
      </c>
      <c r="B30" s="198"/>
      <c r="C30" s="198"/>
      <c r="D30" s="202" t="s">
        <v>186</v>
      </c>
      <c r="E30" s="177" t="s">
        <v>187</v>
      </c>
      <c r="F30" s="174">
        <v>1</v>
      </c>
      <c r="G30" s="200">
        <v>1</v>
      </c>
      <c r="H30" s="174"/>
      <c r="I30" s="174">
        <v>1</v>
      </c>
      <c r="J30" s="174">
        <v>8</v>
      </c>
      <c r="K30" s="174">
        <v>8</v>
      </c>
      <c r="L30" s="174">
        <v>2</v>
      </c>
      <c r="M30" s="174"/>
      <c r="N30" s="174"/>
      <c r="O30" s="174"/>
      <c r="P30" s="174"/>
      <c r="Q30" s="174"/>
    </row>
    <row r="31" spans="1:17" ht="129.6" x14ac:dyDescent="0.3">
      <c r="A31" s="202" t="s">
        <v>188</v>
      </c>
      <c r="B31" s="198"/>
      <c r="C31" s="198"/>
      <c r="D31" s="202" t="s">
        <v>188</v>
      </c>
      <c r="E31" s="177" t="s">
        <v>189</v>
      </c>
      <c r="F31" s="174">
        <v>1</v>
      </c>
      <c r="G31" s="200">
        <v>1</v>
      </c>
      <c r="H31" s="174"/>
      <c r="I31" s="174">
        <v>1</v>
      </c>
      <c r="J31" s="174">
        <v>8</v>
      </c>
      <c r="K31" s="174">
        <v>8</v>
      </c>
      <c r="L31" s="174">
        <v>2</v>
      </c>
      <c r="M31" s="174"/>
      <c r="N31" s="174"/>
      <c r="O31" s="174"/>
      <c r="P31" s="174"/>
      <c r="Q31" s="174"/>
    </row>
    <row r="32" spans="1:17" ht="193.5" customHeight="1" x14ac:dyDescent="0.3">
      <c r="A32" s="202" t="s">
        <v>190</v>
      </c>
      <c r="B32" s="198"/>
      <c r="C32" s="198"/>
      <c r="D32" s="202" t="s">
        <v>190</v>
      </c>
      <c r="E32" s="177" t="s">
        <v>191</v>
      </c>
      <c r="F32" s="174">
        <v>1</v>
      </c>
      <c r="G32" s="200">
        <v>1</v>
      </c>
      <c r="H32" s="174"/>
      <c r="I32" s="174">
        <v>1</v>
      </c>
      <c r="J32" s="174">
        <v>8</v>
      </c>
      <c r="K32" s="174">
        <v>8</v>
      </c>
      <c r="L32" s="174">
        <v>2</v>
      </c>
      <c r="M32" s="174"/>
      <c r="N32" s="174"/>
      <c r="O32" s="174"/>
      <c r="P32" s="174"/>
      <c r="Q32" s="174"/>
    </row>
    <row r="33" spans="1:17" ht="172.8" x14ac:dyDescent="0.3">
      <c r="A33" s="202" t="s">
        <v>192</v>
      </c>
      <c r="B33" s="198"/>
      <c r="C33" s="198"/>
      <c r="D33" s="202" t="s">
        <v>192</v>
      </c>
      <c r="E33" s="177" t="s">
        <v>193</v>
      </c>
      <c r="F33" s="174">
        <v>1</v>
      </c>
      <c r="G33" s="200">
        <v>1</v>
      </c>
      <c r="H33" s="174"/>
      <c r="I33" s="174">
        <v>1</v>
      </c>
      <c r="J33" s="174">
        <v>8</v>
      </c>
      <c r="K33" s="174">
        <v>8</v>
      </c>
      <c r="L33" s="174">
        <v>2</v>
      </c>
      <c r="M33" s="174"/>
      <c r="N33" s="174"/>
      <c r="O33" s="174"/>
      <c r="P33" s="174"/>
      <c r="Q33" s="174"/>
    </row>
    <row r="34" spans="1:17" ht="187.2" x14ac:dyDescent="0.3">
      <c r="A34" s="202" t="s">
        <v>194</v>
      </c>
      <c r="B34" s="198"/>
      <c r="C34" s="198"/>
      <c r="D34" s="202" t="s">
        <v>194</v>
      </c>
      <c r="E34" s="177" t="s">
        <v>195</v>
      </c>
      <c r="F34" s="174">
        <v>1</v>
      </c>
      <c r="G34" s="200">
        <v>1</v>
      </c>
      <c r="H34" s="174"/>
      <c r="I34" s="174">
        <v>1</v>
      </c>
      <c r="J34" s="174">
        <v>8</v>
      </c>
      <c r="K34" s="174">
        <v>8</v>
      </c>
      <c r="L34" s="174">
        <v>2</v>
      </c>
      <c r="M34" s="174"/>
      <c r="N34" s="174"/>
      <c r="O34" s="174"/>
      <c r="P34" s="174"/>
      <c r="Q34" s="174"/>
    </row>
    <row r="35" spans="1:17" ht="14.4" x14ac:dyDescent="0.3">
      <c r="A35" s="197"/>
      <c r="B35" s="198"/>
      <c r="C35" s="198"/>
      <c r="D35" s="177"/>
      <c r="E35" s="177"/>
      <c r="F35" s="174"/>
      <c r="G35" s="200"/>
      <c r="H35" s="174"/>
      <c r="I35" s="174"/>
      <c r="J35" s="174"/>
      <c r="K35" s="174"/>
      <c r="L35" s="174"/>
      <c r="M35" s="174"/>
      <c r="N35" s="174"/>
      <c r="O35" s="174"/>
      <c r="P35" s="174"/>
      <c r="Q35" s="174"/>
    </row>
    <row r="36" spans="1:17" ht="14.4" x14ac:dyDescent="0.3">
      <c r="A36" s="195" t="s">
        <v>196</v>
      </c>
      <c r="B36" s="198"/>
      <c r="C36" s="198" t="s">
        <v>197</v>
      </c>
      <c r="D36" s="177" t="s">
        <v>198</v>
      </c>
      <c r="E36" s="177"/>
      <c r="F36" s="174"/>
      <c r="G36" s="200"/>
      <c r="H36" s="174"/>
      <c r="I36" s="174"/>
      <c r="J36" s="174">
        <v>3</v>
      </c>
      <c r="K36" s="174">
        <v>3</v>
      </c>
      <c r="L36" s="174">
        <v>1.5</v>
      </c>
      <c r="M36" s="174"/>
      <c r="N36" s="174"/>
      <c r="O36" s="174"/>
      <c r="P36" s="174"/>
      <c r="Q36" s="174"/>
    </row>
    <row r="37" spans="1:17" ht="72" x14ac:dyDescent="0.3">
      <c r="A37" s="195" t="s">
        <v>199</v>
      </c>
      <c r="B37" s="198"/>
      <c r="C37" s="198"/>
      <c r="D37" s="177" t="s">
        <v>199</v>
      </c>
      <c r="E37" s="177" t="s">
        <v>200</v>
      </c>
      <c r="F37" s="174">
        <v>1</v>
      </c>
      <c r="G37" s="200">
        <v>1</v>
      </c>
      <c r="H37" s="174"/>
      <c r="I37" s="174">
        <v>1</v>
      </c>
      <c r="J37" s="174">
        <v>4</v>
      </c>
      <c r="K37" s="174">
        <v>4</v>
      </c>
      <c r="L37" s="174">
        <v>1.5</v>
      </c>
      <c r="M37" s="174"/>
      <c r="N37" s="174"/>
      <c r="O37" s="174"/>
      <c r="P37" s="174"/>
      <c r="Q37" s="174"/>
    </row>
    <row r="38" spans="1:17" ht="115.2" x14ac:dyDescent="0.3">
      <c r="A38" s="195" t="s">
        <v>201</v>
      </c>
      <c r="B38" s="198"/>
      <c r="C38" s="198"/>
      <c r="D38" s="177" t="s">
        <v>201</v>
      </c>
      <c r="E38" s="177" t="s">
        <v>202</v>
      </c>
      <c r="F38" s="174">
        <v>1</v>
      </c>
      <c r="G38" s="200">
        <v>1</v>
      </c>
      <c r="H38" s="174"/>
      <c r="I38" s="174">
        <v>1</v>
      </c>
      <c r="J38" s="174">
        <v>4</v>
      </c>
      <c r="K38" s="174">
        <v>4</v>
      </c>
      <c r="L38" s="174">
        <v>2</v>
      </c>
      <c r="M38" s="174"/>
      <c r="N38" s="174"/>
      <c r="O38" s="174"/>
      <c r="P38" s="174"/>
      <c r="Q38" s="174"/>
    </row>
    <row r="39" spans="1:17" ht="115.2" x14ac:dyDescent="0.3">
      <c r="A39" s="195" t="s">
        <v>203</v>
      </c>
      <c r="B39" s="198"/>
      <c r="C39" s="198"/>
      <c r="D39" s="177" t="s">
        <v>203</v>
      </c>
      <c r="E39" s="177" t="s">
        <v>204</v>
      </c>
      <c r="F39" s="174">
        <v>1</v>
      </c>
      <c r="G39" s="200">
        <v>1</v>
      </c>
      <c r="H39" s="174"/>
      <c r="I39" s="174">
        <v>1</v>
      </c>
      <c r="J39" s="174">
        <v>5</v>
      </c>
      <c r="K39" s="174">
        <v>5</v>
      </c>
      <c r="L39" s="174">
        <v>2</v>
      </c>
      <c r="M39" s="174"/>
      <c r="N39" s="174"/>
      <c r="O39" s="174"/>
      <c r="P39" s="174"/>
      <c r="Q39" s="174"/>
    </row>
    <row r="40" spans="1:17" ht="100.8" x14ac:dyDescent="0.3">
      <c r="A40" s="195" t="s">
        <v>205</v>
      </c>
      <c r="B40" s="198"/>
      <c r="C40" s="198" t="s">
        <v>206</v>
      </c>
      <c r="D40" s="177" t="s">
        <v>205</v>
      </c>
      <c r="E40" s="177" t="s">
        <v>207</v>
      </c>
      <c r="F40" s="174">
        <v>1</v>
      </c>
      <c r="G40" s="200">
        <v>1</v>
      </c>
      <c r="H40" s="174"/>
      <c r="I40" s="174">
        <v>1</v>
      </c>
      <c r="J40" s="174">
        <v>5</v>
      </c>
      <c r="K40" s="174">
        <v>5</v>
      </c>
      <c r="L40" s="174">
        <v>2</v>
      </c>
      <c r="M40" s="174"/>
      <c r="N40" s="174"/>
      <c r="O40" s="174"/>
      <c r="P40" s="174"/>
      <c r="Q40" s="174"/>
    </row>
    <row r="41" spans="1:17" ht="57.6" x14ac:dyDescent="0.3">
      <c r="A41" s="195" t="s">
        <v>208</v>
      </c>
      <c r="B41" s="198"/>
      <c r="C41" s="198" t="s">
        <v>206</v>
      </c>
      <c r="D41" s="177" t="s">
        <v>208</v>
      </c>
      <c r="E41" s="177" t="s">
        <v>209</v>
      </c>
      <c r="F41" s="174">
        <v>1</v>
      </c>
      <c r="G41" s="200">
        <v>1</v>
      </c>
      <c r="H41" s="174"/>
      <c r="I41" s="174">
        <v>1</v>
      </c>
      <c r="J41" s="174">
        <v>4</v>
      </c>
      <c r="K41" s="174">
        <v>4</v>
      </c>
      <c r="L41" s="174">
        <v>2</v>
      </c>
      <c r="M41" s="174"/>
      <c r="N41" s="174"/>
      <c r="O41" s="174"/>
      <c r="P41" s="174"/>
      <c r="Q41" s="174"/>
    </row>
    <row r="42" spans="1:17" ht="72" x14ac:dyDescent="0.3">
      <c r="A42" s="195" t="s">
        <v>210</v>
      </c>
      <c r="B42" s="198"/>
      <c r="C42" s="198"/>
      <c r="D42" s="177" t="s">
        <v>210</v>
      </c>
      <c r="E42" s="177" t="s">
        <v>211</v>
      </c>
      <c r="F42" s="174">
        <v>1</v>
      </c>
      <c r="G42" s="200">
        <v>1</v>
      </c>
      <c r="H42" s="174"/>
      <c r="I42" s="174">
        <v>1</v>
      </c>
      <c r="J42" s="174">
        <v>5</v>
      </c>
      <c r="K42" s="174">
        <v>5</v>
      </c>
      <c r="L42" s="174">
        <v>2</v>
      </c>
      <c r="M42" s="174"/>
      <c r="N42" s="174"/>
      <c r="O42" s="174"/>
      <c r="P42" s="174"/>
      <c r="Q42" s="174"/>
    </row>
    <row r="43" spans="1:17" ht="86.4" x14ac:dyDescent="0.3">
      <c r="A43" s="195" t="s">
        <v>212</v>
      </c>
      <c r="B43" s="198"/>
      <c r="C43" s="198"/>
      <c r="D43" s="177" t="s">
        <v>212</v>
      </c>
      <c r="E43" s="177" t="s">
        <v>213</v>
      </c>
      <c r="F43" s="174">
        <v>1</v>
      </c>
      <c r="G43" s="200">
        <v>1</v>
      </c>
      <c r="H43" s="174"/>
      <c r="I43" s="174">
        <v>1</v>
      </c>
      <c r="J43" s="174">
        <v>5</v>
      </c>
      <c r="K43" s="174">
        <v>5</v>
      </c>
      <c r="L43" s="174">
        <v>2</v>
      </c>
      <c r="M43" s="174"/>
      <c r="N43" s="174"/>
      <c r="O43" s="174"/>
      <c r="P43" s="174"/>
      <c r="Q43" s="174"/>
    </row>
    <row r="44" spans="1:17" ht="28.8" x14ac:dyDescent="0.3">
      <c r="A44" s="197"/>
      <c r="B44" s="198" t="s">
        <v>214</v>
      </c>
      <c r="C44" s="198" t="s">
        <v>215</v>
      </c>
      <c r="D44" s="177" t="s">
        <v>216</v>
      </c>
      <c r="E44" s="177"/>
      <c r="F44" s="174"/>
      <c r="G44" s="200"/>
      <c r="H44" s="174"/>
      <c r="I44" s="174"/>
      <c r="J44" s="174">
        <v>4</v>
      </c>
      <c r="K44" s="174">
        <v>4</v>
      </c>
      <c r="L44" s="174">
        <v>2</v>
      </c>
      <c r="M44" s="174"/>
      <c r="N44" s="174"/>
      <c r="O44" s="174"/>
      <c r="P44" s="174"/>
      <c r="Q44" s="174"/>
    </row>
    <row r="45" spans="1:17" ht="28.8" x14ac:dyDescent="0.3">
      <c r="A45" s="197"/>
      <c r="B45" s="198"/>
      <c r="C45" s="198" t="s">
        <v>217</v>
      </c>
      <c r="D45" s="177" t="s">
        <v>218</v>
      </c>
      <c r="E45" s="177"/>
      <c r="F45" s="174"/>
      <c r="G45" s="200"/>
      <c r="H45" s="174"/>
      <c r="I45" s="174"/>
      <c r="J45" s="174">
        <v>4</v>
      </c>
      <c r="K45" s="174">
        <v>4</v>
      </c>
      <c r="L45" s="174">
        <v>2</v>
      </c>
      <c r="M45" s="174"/>
      <c r="N45" s="174"/>
      <c r="O45" s="174"/>
      <c r="P45" s="174"/>
      <c r="Q45" s="174"/>
    </row>
    <row r="46" spans="1:17" ht="14.4" x14ac:dyDescent="0.3">
      <c r="A46" s="197"/>
      <c r="B46" s="198"/>
      <c r="C46" s="198"/>
      <c r="D46" s="177"/>
      <c r="E46" s="177"/>
      <c r="F46" s="174"/>
      <c r="G46" s="200"/>
      <c r="H46" s="174"/>
      <c r="I46" s="174"/>
      <c r="J46" s="174"/>
      <c r="K46" s="174"/>
      <c r="L46" s="174"/>
      <c r="M46" s="174"/>
      <c r="N46" s="174"/>
      <c r="O46" s="174"/>
      <c r="P46" s="174"/>
      <c r="Q46" s="174"/>
    </row>
    <row r="47" spans="1:17" ht="28.8" x14ac:dyDescent="0.3">
      <c r="A47" s="197"/>
      <c r="B47" s="203" t="s">
        <v>219</v>
      </c>
      <c r="C47" s="198"/>
      <c r="D47" s="177"/>
      <c r="E47" s="177"/>
      <c r="F47" s="174"/>
      <c r="G47" s="200"/>
      <c r="H47" s="174"/>
      <c r="I47" s="174"/>
      <c r="J47" s="174"/>
      <c r="K47" s="174"/>
      <c r="L47" s="174"/>
      <c r="M47" s="174"/>
      <c r="N47" s="174"/>
      <c r="O47" s="174"/>
      <c r="P47" s="174"/>
      <c r="Q47" s="174"/>
    </row>
    <row r="48" spans="1:17" ht="14.4" x14ac:dyDescent="0.3">
      <c r="A48" s="197"/>
      <c r="B48" s="195" t="s">
        <v>220</v>
      </c>
      <c r="C48" s="198" t="s">
        <v>156</v>
      </c>
      <c r="D48" s="204" t="s">
        <v>157</v>
      </c>
      <c r="E48" s="196"/>
      <c r="F48" s="174">
        <v>1</v>
      </c>
      <c r="G48" s="174">
        <v>1</v>
      </c>
      <c r="H48" s="174"/>
      <c r="I48" s="174">
        <v>1</v>
      </c>
      <c r="J48" s="174">
        <v>1</v>
      </c>
      <c r="K48" s="174">
        <v>1</v>
      </c>
      <c r="L48" s="174"/>
      <c r="M48" s="174"/>
      <c r="N48" s="174"/>
      <c r="O48" s="174"/>
      <c r="P48" s="174"/>
      <c r="Q48" s="174"/>
    </row>
    <row r="49" spans="1:17" ht="14.4" x14ac:dyDescent="0.3">
      <c r="A49" s="197"/>
      <c r="B49" s="196"/>
      <c r="C49" s="196"/>
      <c r="D49" s="173" t="s">
        <v>158</v>
      </c>
      <c r="E49" s="196"/>
      <c r="F49" s="174"/>
      <c r="G49" s="174"/>
      <c r="H49" s="174"/>
      <c r="I49" s="174"/>
      <c r="J49" s="174">
        <v>1</v>
      </c>
      <c r="K49" s="174">
        <v>1</v>
      </c>
      <c r="L49" s="174"/>
      <c r="M49" s="174"/>
      <c r="N49" s="174"/>
      <c r="O49" s="174"/>
      <c r="P49" s="174"/>
      <c r="Q49" s="174"/>
    </row>
    <row r="50" spans="1:17" ht="14.4" x14ac:dyDescent="0.3">
      <c r="A50" s="197"/>
      <c r="B50" s="196"/>
      <c r="C50" s="196"/>
      <c r="D50" s="173" t="s">
        <v>159</v>
      </c>
      <c r="E50" s="196"/>
      <c r="F50" s="174"/>
      <c r="G50" s="174"/>
      <c r="H50" s="174"/>
      <c r="I50" s="174"/>
      <c r="J50" s="174">
        <v>6</v>
      </c>
      <c r="K50" s="174">
        <v>6</v>
      </c>
      <c r="L50" s="174"/>
      <c r="M50" s="174"/>
      <c r="N50" s="174"/>
      <c r="O50" s="174"/>
      <c r="P50" s="174"/>
      <c r="Q50" s="174"/>
    </row>
    <row r="51" spans="1:17" ht="14.4" x14ac:dyDescent="0.3">
      <c r="A51" s="197"/>
      <c r="B51" s="196"/>
      <c r="C51" s="196"/>
      <c r="D51" s="173" t="s">
        <v>160</v>
      </c>
      <c r="E51" s="196"/>
      <c r="F51" s="174"/>
      <c r="G51" s="174"/>
      <c r="H51" s="174"/>
      <c r="I51" s="174"/>
      <c r="J51" s="174">
        <v>4</v>
      </c>
      <c r="K51" s="174">
        <v>4</v>
      </c>
      <c r="L51" s="174"/>
      <c r="M51" s="174"/>
      <c r="N51" s="174"/>
      <c r="O51" s="174"/>
      <c r="P51" s="174"/>
      <c r="Q51" s="174"/>
    </row>
    <row r="52" spans="1:17" ht="14.4" x14ac:dyDescent="0.3">
      <c r="A52" s="197"/>
      <c r="B52" s="196"/>
      <c r="C52" s="196"/>
      <c r="D52" s="173" t="s">
        <v>161</v>
      </c>
      <c r="E52" s="196"/>
      <c r="F52" s="174"/>
      <c r="G52" s="174"/>
      <c r="H52" s="174"/>
      <c r="I52" s="174"/>
      <c r="J52" s="174">
        <v>2</v>
      </c>
      <c r="K52" s="174">
        <v>2</v>
      </c>
      <c r="L52" s="174"/>
      <c r="M52" s="174"/>
      <c r="N52" s="174"/>
      <c r="O52" s="174"/>
      <c r="P52" s="174"/>
      <c r="Q52" s="174"/>
    </row>
    <row r="53" spans="1:17" ht="14.4" x14ac:dyDescent="0.3">
      <c r="A53" s="197"/>
      <c r="B53" s="198"/>
      <c r="C53" s="198"/>
      <c r="D53" s="177"/>
      <c r="E53" s="177"/>
      <c r="F53" s="174"/>
      <c r="G53" s="200"/>
      <c r="H53" s="174"/>
      <c r="I53" s="174"/>
      <c r="J53" s="174"/>
      <c r="K53" s="174"/>
      <c r="L53" s="174"/>
      <c r="M53" s="174"/>
      <c r="N53" s="174"/>
      <c r="O53" s="174"/>
      <c r="P53" s="174"/>
      <c r="Q53" s="174"/>
    </row>
    <row r="54" spans="1:17" ht="14.4" x14ac:dyDescent="0.3">
      <c r="A54" s="197" t="s">
        <v>221</v>
      </c>
      <c r="B54" s="198" t="s">
        <v>162</v>
      </c>
      <c r="C54" s="198" t="s">
        <v>14</v>
      </c>
      <c r="D54" s="177" t="s">
        <v>166</v>
      </c>
      <c r="E54" s="177"/>
      <c r="F54" s="174">
        <v>1</v>
      </c>
      <c r="G54" s="200">
        <v>1</v>
      </c>
      <c r="H54" s="174"/>
      <c r="I54" s="174">
        <v>1</v>
      </c>
      <c r="J54" s="174">
        <v>2</v>
      </c>
      <c r="K54" s="174">
        <v>2</v>
      </c>
      <c r="L54" s="174">
        <v>2.5</v>
      </c>
      <c r="M54" s="174"/>
      <c r="N54" s="174"/>
      <c r="O54" s="174"/>
      <c r="P54" s="174"/>
      <c r="Q54" s="174"/>
    </row>
    <row r="55" spans="1:17" ht="14.4" x14ac:dyDescent="0.3">
      <c r="A55" s="197"/>
      <c r="B55" s="198"/>
      <c r="C55" s="198"/>
      <c r="D55" s="177" t="s">
        <v>222</v>
      </c>
      <c r="E55" s="177" t="s">
        <v>168</v>
      </c>
      <c r="F55" s="174"/>
      <c r="G55" s="200"/>
      <c r="H55" s="174"/>
      <c r="I55" s="174"/>
      <c r="J55" s="174">
        <v>4.5</v>
      </c>
      <c r="K55" s="174">
        <v>4.5</v>
      </c>
      <c r="L55" s="174"/>
      <c r="M55" s="174"/>
      <c r="N55" s="174"/>
      <c r="O55" s="174"/>
      <c r="P55" s="174"/>
      <c r="Q55" s="174"/>
    </row>
    <row r="56" spans="1:17" ht="14.4" x14ac:dyDescent="0.3">
      <c r="A56" s="197"/>
      <c r="B56" s="198"/>
      <c r="C56" s="198"/>
      <c r="D56" s="177" t="s">
        <v>223</v>
      </c>
      <c r="E56" s="177"/>
      <c r="F56" s="174"/>
      <c r="G56" s="200"/>
      <c r="H56" s="174"/>
      <c r="I56" s="174"/>
      <c r="J56" s="174">
        <v>1.5</v>
      </c>
      <c r="K56" s="174">
        <v>1.5</v>
      </c>
      <c r="L56" s="174"/>
      <c r="M56" s="174"/>
      <c r="N56" s="174"/>
      <c r="O56" s="174"/>
      <c r="P56" s="174"/>
      <c r="Q56" s="174"/>
    </row>
    <row r="57" spans="1:17" ht="14.4" x14ac:dyDescent="0.3">
      <c r="A57" s="197"/>
      <c r="B57" s="198"/>
      <c r="C57" s="198"/>
      <c r="D57" s="177" t="s">
        <v>224</v>
      </c>
      <c r="E57" s="177"/>
      <c r="F57" s="174"/>
      <c r="G57" s="200"/>
      <c r="H57" s="174"/>
      <c r="I57" s="174"/>
      <c r="J57" s="174">
        <v>2</v>
      </c>
      <c r="K57" s="174">
        <v>2</v>
      </c>
      <c r="L57" s="174"/>
      <c r="M57" s="174"/>
      <c r="N57" s="174"/>
      <c r="O57" s="174"/>
      <c r="P57" s="174"/>
      <c r="Q57" s="174"/>
    </row>
    <row r="58" spans="1:17" ht="14.4" x14ac:dyDescent="0.3">
      <c r="A58" s="197"/>
      <c r="B58" s="198"/>
      <c r="C58" s="198"/>
      <c r="D58" s="177"/>
      <c r="E58" s="177"/>
      <c r="F58" s="174"/>
      <c r="G58" s="200"/>
      <c r="H58" s="174"/>
      <c r="I58" s="174"/>
      <c r="J58" s="174"/>
      <c r="K58" s="174"/>
      <c r="L58" s="174"/>
      <c r="M58" s="174"/>
      <c r="N58" s="174"/>
      <c r="O58" s="174"/>
      <c r="P58" s="174"/>
      <c r="Q58" s="174"/>
    </row>
    <row r="59" spans="1:17" ht="43.2" x14ac:dyDescent="0.3">
      <c r="A59" s="197" t="s">
        <v>225</v>
      </c>
      <c r="B59" s="198"/>
      <c r="C59" s="198" t="s">
        <v>226</v>
      </c>
      <c r="D59" s="177" t="s">
        <v>227</v>
      </c>
      <c r="E59" s="177"/>
      <c r="F59" s="174">
        <v>1</v>
      </c>
      <c r="G59" s="200">
        <v>1</v>
      </c>
      <c r="H59" s="174"/>
      <c r="I59" s="174">
        <v>1</v>
      </c>
      <c r="J59" s="174">
        <v>3</v>
      </c>
      <c r="K59" s="174">
        <v>3</v>
      </c>
      <c r="L59" s="174">
        <v>2</v>
      </c>
      <c r="M59" s="174"/>
      <c r="N59" s="174"/>
      <c r="O59" s="174"/>
      <c r="P59" s="174"/>
      <c r="Q59" s="174"/>
    </row>
    <row r="60" spans="1:17" ht="14.4" x14ac:dyDescent="0.3">
      <c r="A60" s="197"/>
      <c r="B60" s="198"/>
      <c r="C60" s="198"/>
      <c r="D60" s="177" t="s">
        <v>228</v>
      </c>
      <c r="E60" s="177"/>
      <c r="F60" s="174"/>
      <c r="G60" s="200"/>
      <c r="H60" s="174"/>
      <c r="I60" s="174"/>
      <c r="J60" s="174">
        <v>1</v>
      </c>
      <c r="K60" s="174">
        <v>1</v>
      </c>
      <c r="L60" s="174">
        <v>1</v>
      </c>
      <c r="M60" s="174"/>
      <c r="N60" s="174"/>
      <c r="O60" s="174"/>
      <c r="P60" s="174"/>
      <c r="Q60" s="174"/>
    </row>
    <row r="61" spans="1:17" ht="28.8" x14ac:dyDescent="0.3">
      <c r="A61" s="272" t="s">
        <v>186</v>
      </c>
      <c r="B61" s="198"/>
      <c r="C61" s="174"/>
      <c r="D61" s="272" t="s">
        <v>186</v>
      </c>
      <c r="E61" s="177" t="s">
        <v>229</v>
      </c>
      <c r="F61" s="174">
        <v>1</v>
      </c>
      <c r="G61" s="200">
        <v>1</v>
      </c>
      <c r="H61" s="174"/>
      <c r="I61" s="174">
        <v>1</v>
      </c>
      <c r="J61" s="174">
        <v>3</v>
      </c>
      <c r="K61" s="174">
        <v>3</v>
      </c>
      <c r="L61" s="174"/>
      <c r="M61" s="174"/>
      <c r="N61" s="174"/>
      <c r="O61" s="174"/>
      <c r="P61" s="174"/>
      <c r="Q61" s="174"/>
    </row>
    <row r="62" spans="1:17" ht="43.2" x14ac:dyDescent="0.3">
      <c r="A62" s="197"/>
      <c r="B62" s="198"/>
      <c r="C62" s="174"/>
      <c r="D62" s="198"/>
      <c r="E62" s="177" t="s">
        <v>230</v>
      </c>
      <c r="F62" s="174"/>
      <c r="G62" s="200"/>
      <c r="H62" s="174"/>
      <c r="I62" s="174"/>
      <c r="J62" s="174">
        <v>2</v>
      </c>
      <c r="K62" s="174">
        <v>2</v>
      </c>
      <c r="L62" s="174"/>
      <c r="M62" s="174"/>
      <c r="N62" s="174"/>
      <c r="O62" s="174"/>
      <c r="P62" s="174"/>
      <c r="Q62" s="174"/>
    </row>
    <row r="63" spans="1:17" ht="43.2" x14ac:dyDescent="0.3">
      <c r="A63" s="197"/>
      <c r="B63" s="198"/>
      <c r="C63" s="174"/>
      <c r="D63" s="198"/>
      <c r="E63" s="177" t="s">
        <v>231</v>
      </c>
      <c r="F63" s="174"/>
      <c r="G63" s="200"/>
      <c r="H63" s="174"/>
      <c r="I63" s="174"/>
      <c r="J63" s="174">
        <v>3</v>
      </c>
      <c r="K63" s="174">
        <v>3</v>
      </c>
      <c r="L63" s="174"/>
      <c r="M63" s="174"/>
      <c r="N63" s="174"/>
      <c r="O63" s="174"/>
      <c r="P63" s="174"/>
      <c r="Q63" s="174"/>
    </row>
    <row r="64" spans="1:17" ht="28.8" x14ac:dyDescent="0.3">
      <c r="A64" s="272" t="s">
        <v>190</v>
      </c>
      <c r="B64" s="198"/>
      <c r="C64" s="174"/>
      <c r="D64" s="272" t="s">
        <v>190</v>
      </c>
      <c r="E64" s="177" t="s">
        <v>229</v>
      </c>
      <c r="F64" s="174">
        <v>1</v>
      </c>
      <c r="G64" s="200">
        <v>1</v>
      </c>
      <c r="H64" s="174"/>
      <c r="I64" s="174">
        <v>1</v>
      </c>
      <c r="J64" s="174">
        <v>3</v>
      </c>
      <c r="K64" s="174">
        <v>3</v>
      </c>
      <c r="L64" s="174">
        <v>2</v>
      </c>
      <c r="M64" s="174"/>
      <c r="N64" s="174"/>
      <c r="O64" s="174"/>
      <c r="P64" s="174"/>
      <c r="Q64" s="174"/>
    </row>
    <row r="65" spans="1:17" ht="43.2" x14ac:dyDescent="0.3">
      <c r="A65" s="197"/>
      <c r="B65" s="198"/>
      <c r="C65" s="174"/>
      <c r="D65" s="198"/>
      <c r="E65" s="177" t="s">
        <v>230</v>
      </c>
      <c r="F65" s="174"/>
      <c r="G65" s="200"/>
      <c r="H65" s="174"/>
      <c r="I65" s="174"/>
      <c r="J65" s="174">
        <v>2</v>
      </c>
      <c r="K65" s="174">
        <v>2</v>
      </c>
      <c r="L65" s="174"/>
      <c r="M65" s="174"/>
      <c r="N65" s="174"/>
      <c r="O65" s="174"/>
      <c r="P65" s="174"/>
      <c r="Q65" s="174"/>
    </row>
    <row r="66" spans="1:17" ht="72" x14ac:dyDescent="0.3">
      <c r="A66" s="197"/>
      <c r="B66" s="198"/>
      <c r="C66" s="174"/>
      <c r="D66" s="198"/>
      <c r="E66" s="177" t="s">
        <v>232</v>
      </c>
      <c r="F66" s="174"/>
      <c r="G66" s="200"/>
      <c r="H66" s="174"/>
      <c r="I66" s="174"/>
      <c r="J66" s="174">
        <v>3</v>
      </c>
      <c r="K66" s="174">
        <v>3</v>
      </c>
      <c r="L66" s="174">
        <v>2</v>
      </c>
      <c r="M66" s="174"/>
      <c r="N66" s="174"/>
      <c r="O66" s="174"/>
      <c r="P66" s="174"/>
      <c r="Q66" s="174"/>
    </row>
    <row r="67" spans="1:17" ht="28.8" x14ac:dyDescent="0.3">
      <c r="A67" s="272" t="s">
        <v>192</v>
      </c>
      <c r="B67" s="198"/>
      <c r="C67" s="174"/>
      <c r="D67" s="272" t="s">
        <v>192</v>
      </c>
      <c r="E67" s="177" t="s">
        <v>229</v>
      </c>
      <c r="F67" s="174">
        <v>1</v>
      </c>
      <c r="G67" s="200">
        <v>1</v>
      </c>
      <c r="H67" s="174"/>
      <c r="I67" s="174">
        <v>1</v>
      </c>
      <c r="J67" s="174">
        <v>3</v>
      </c>
      <c r="K67" s="174">
        <v>3</v>
      </c>
      <c r="L67" s="174">
        <v>2</v>
      </c>
      <c r="M67" s="174"/>
      <c r="N67" s="174"/>
      <c r="O67" s="174"/>
      <c r="P67" s="174"/>
      <c r="Q67" s="174"/>
    </row>
    <row r="68" spans="1:17" ht="43.2" x14ac:dyDescent="0.3">
      <c r="A68" s="197"/>
      <c r="B68" s="198"/>
      <c r="C68" s="174"/>
      <c r="D68" s="198"/>
      <c r="E68" s="177" t="s">
        <v>230</v>
      </c>
      <c r="F68" s="174"/>
      <c r="G68" s="200"/>
      <c r="H68" s="174"/>
      <c r="I68" s="174"/>
      <c r="J68" s="174">
        <v>2</v>
      </c>
      <c r="K68" s="174">
        <v>2</v>
      </c>
      <c r="L68" s="174"/>
      <c r="M68" s="174"/>
      <c r="N68" s="174"/>
      <c r="O68" s="174"/>
      <c r="P68" s="174"/>
      <c r="Q68" s="174"/>
    </row>
    <row r="69" spans="1:17" ht="100.8" x14ac:dyDescent="0.3">
      <c r="A69" s="197"/>
      <c r="B69" s="198"/>
      <c r="C69" s="174"/>
      <c r="D69" s="198"/>
      <c r="E69" s="177" t="s">
        <v>233</v>
      </c>
      <c r="F69" s="174"/>
      <c r="G69" s="200"/>
      <c r="H69" s="174"/>
      <c r="I69" s="174"/>
      <c r="J69" s="174">
        <v>4</v>
      </c>
      <c r="K69" s="174">
        <v>4</v>
      </c>
      <c r="L69" s="174"/>
      <c r="M69" s="174"/>
      <c r="N69" s="174"/>
      <c r="O69" s="174"/>
      <c r="P69" s="174"/>
      <c r="Q69" s="174"/>
    </row>
    <row r="70" spans="1:17" ht="14.4" x14ac:dyDescent="0.3">
      <c r="A70" s="197"/>
      <c r="B70" s="198"/>
      <c r="C70" s="198"/>
      <c r="D70" s="177"/>
      <c r="E70" s="177"/>
      <c r="F70" s="174"/>
      <c r="G70" s="200"/>
      <c r="H70" s="174"/>
      <c r="I70" s="174"/>
      <c r="J70" s="174"/>
      <c r="K70" s="174"/>
      <c r="L70" s="174"/>
      <c r="M70" s="174"/>
      <c r="N70" s="174"/>
      <c r="O70" s="174"/>
      <c r="P70" s="174"/>
      <c r="Q70" s="174"/>
    </row>
    <row r="71" spans="1:17" ht="28.8" x14ac:dyDescent="0.3">
      <c r="A71" s="197" t="s">
        <v>196</v>
      </c>
      <c r="B71" s="198"/>
      <c r="C71" s="198" t="s">
        <v>234</v>
      </c>
      <c r="D71" s="177" t="s">
        <v>235</v>
      </c>
      <c r="E71" s="177"/>
      <c r="F71" s="174">
        <v>1</v>
      </c>
      <c r="G71" s="200">
        <v>1</v>
      </c>
      <c r="H71" s="174"/>
      <c r="I71" s="174">
        <v>1</v>
      </c>
      <c r="J71" s="174">
        <v>3</v>
      </c>
      <c r="K71" s="174">
        <v>3</v>
      </c>
      <c r="L71" s="174">
        <v>2</v>
      </c>
      <c r="M71" s="174"/>
      <c r="N71" s="174"/>
      <c r="O71" s="174"/>
      <c r="P71" s="174"/>
      <c r="Q71" s="174"/>
    </row>
    <row r="72" spans="1:17" ht="14.4" x14ac:dyDescent="0.3">
      <c r="A72" s="197"/>
      <c r="B72" s="198"/>
      <c r="C72" s="198"/>
      <c r="D72" s="177"/>
      <c r="E72" s="177"/>
      <c r="F72" s="174"/>
      <c r="G72" s="200"/>
      <c r="H72" s="174"/>
      <c r="I72" s="174"/>
      <c r="J72" s="174"/>
      <c r="K72" s="174"/>
      <c r="L72" s="174"/>
      <c r="M72" s="174"/>
      <c r="N72" s="174"/>
      <c r="O72" s="174"/>
      <c r="P72" s="174"/>
      <c r="Q72" s="174"/>
    </row>
    <row r="73" spans="1:17" ht="28.8" x14ac:dyDescent="0.3">
      <c r="A73" s="275" t="s">
        <v>236</v>
      </c>
      <c r="B73" s="198"/>
      <c r="C73" s="198"/>
      <c r="D73" s="206" t="s">
        <v>236</v>
      </c>
      <c r="E73" s="177" t="s">
        <v>237</v>
      </c>
      <c r="F73" s="174"/>
      <c r="G73" s="200"/>
      <c r="H73" s="174"/>
      <c r="I73" s="174"/>
      <c r="J73" s="174">
        <v>3</v>
      </c>
      <c r="K73" s="174">
        <v>3</v>
      </c>
      <c r="L73" s="174">
        <v>2</v>
      </c>
      <c r="M73" s="174"/>
      <c r="N73" s="174"/>
      <c r="O73" s="174"/>
      <c r="P73" s="174"/>
      <c r="Q73" s="174"/>
    </row>
    <row r="74" spans="1:17" ht="14.4" x14ac:dyDescent="0.3">
      <c r="A74" s="197"/>
      <c r="B74" s="198"/>
      <c r="C74" s="198"/>
      <c r="D74" s="177"/>
      <c r="E74" s="177" t="s">
        <v>238</v>
      </c>
      <c r="F74" s="174"/>
      <c r="G74" s="200"/>
      <c r="H74" s="174"/>
      <c r="I74" s="174"/>
      <c r="J74" s="174">
        <v>1</v>
      </c>
      <c r="K74" s="174">
        <v>1</v>
      </c>
      <c r="L74" s="174">
        <v>2</v>
      </c>
      <c r="M74" s="174"/>
      <c r="N74" s="174"/>
      <c r="O74" s="174"/>
      <c r="P74" s="174"/>
      <c r="Q74" s="174"/>
    </row>
    <row r="75" spans="1:17" ht="28.8" x14ac:dyDescent="0.3">
      <c r="A75" s="197"/>
      <c r="B75" s="198"/>
      <c r="C75" s="198"/>
      <c r="D75" s="177"/>
      <c r="E75" s="177" t="s">
        <v>239</v>
      </c>
      <c r="F75" s="174"/>
      <c r="G75" s="200"/>
      <c r="H75" s="174"/>
      <c r="I75" s="174"/>
      <c r="J75" s="174">
        <v>1</v>
      </c>
      <c r="K75" s="174">
        <v>1</v>
      </c>
      <c r="L75" s="174"/>
      <c r="M75" s="174"/>
      <c r="N75" s="174"/>
      <c r="O75" s="174"/>
      <c r="P75" s="174"/>
      <c r="Q75" s="174"/>
    </row>
    <row r="76" spans="1:17" ht="28.8" x14ac:dyDescent="0.3">
      <c r="A76" s="197"/>
      <c r="B76" s="198"/>
      <c r="C76" s="198"/>
      <c r="D76" s="177"/>
      <c r="E76" s="177" t="s">
        <v>240</v>
      </c>
      <c r="F76" s="174"/>
      <c r="G76" s="200"/>
      <c r="H76" s="174"/>
      <c r="I76" s="174"/>
      <c r="J76" s="174">
        <v>1</v>
      </c>
      <c r="K76" s="174">
        <v>1</v>
      </c>
      <c r="L76" s="174"/>
      <c r="M76" s="174"/>
      <c r="N76" s="174"/>
      <c r="O76" s="174"/>
      <c r="P76" s="174"/>
      <c r="Q76" s="174"/>
    </row>
    <row r="77" spans="1:17" ht="43.2" x14ac:dyDescent="0.3">
      <c r="A77" s="197"/>
      <c r="B77" s="198"/>
      <c r="C77" s="198"/>
      <c r="D77" s="177"/>
      <c r="E77" s="177" t="s">
        <v>241</v>
      </c>
      <c r="F77" s="174"/>
      <c r="G77" s="200"/>
      <c r="H77" s="174"/>
      <c r="I77" s="174"/>
      <c r="J77" s="174">
        <v>1</v>
      </c>
      <c r="K77" s="174">
        <v>1</v>
      </c>
      <c r="L77" s="174"/>
      <c r="M77" s="174"/>
      <c r="N77" s="174"/>
      <c r="O77" s="174"/>
      <c r="P77" s="174"/>
      <c r="Q77" s="174"/>
    </row>
    <row r="78" spans="1:17" ht="14.4" x14ac:dyDescent="0.3">
      <c r="A78" s="197"/>
      <c r="B78" s="198"/>
      <c r="C78" s="198"/>
      <c r="D78" s="177"/>
      <c r="E78" s="177"/>
      <c r="F78" s="174"/>
      <c r="G78" s="200"/>
      <c r="H78" s="174"/>
      <c r="I78" s="174"/>
      <c r="J78" s="174"/>
      <c r="K78" s="174"/>
      <c r="L78" s="174"/>
      <c r="M78" s="174"/>
      <c r="N78" s="174"/>
      <c r="O78" s="174"/>
      <c r="P78" s="174"/>
      <c r="Q78" s="174"/>
    </row>
    <row r="79" spans="1:17" ht="14.4" x14ac:dyDescent="0.3">
      <c r="A79" s="195" t="s">
        <v>242</v>
      </c>
      <c r="B79" s="198"/>
      <c r="C79" s="198"/>
      <c r="D79" s="177" t="s">
        <v>242</v>
      </c>
      <c r="E79" s="177"/>
      <c r="F79" s="174">
        <v>1</v>
      </c>
      <c r="G79" s="200">
        <v>1</v>
      </c>
      <c r="H79" s="174"/>
      <c r="I79" s="174">
        <v>1</v>
      </c>
      <c r="J79" s="174"/>
      <c r="K79" s="174"/>
      <c r="L79" s="174">
        <v>2.5</v>
      </c>
      <c r="M79" s="174"/>
      <c r="N79" s="174"/>
      <c r="O79" s="174"/>
      <c r="P79" s="174"/>
      <c r="Q79" s="174"/>
    </row>
    <row r="80" spans="1:17" ht="14.4" x14ac:dyDescent="0.3">
      <c r="A80" s="197"/>
      <c r="B80" s="198"/>
      <c r="C80" s="198"/>
      <c r="D80" s="177"/>
      <c r="E80" s="177" t="s">
        <v>243</v>
      </c>
      <c r="F80" s="174"/>
      <c r="G80" s="200"/>
      <c r="H80" s="174"/>
      <c r="I80" s="174"/>
      <c r="J80" s="174">
        <v>2</v>
      </c>
      <c r="K80" s="174">
        <v>2</v>
      </c>
      <c r="L80" s="174"/>
      <c r="M80" s="174"/>
      <c r="N80" s="174"/>
      <c r="O80" s="174"/>
      <c r="P80" s="174"/>
      <c r="Q80" s="174"/>
    </row>
    <row r="81" spans="1:17" ht="28.8" x14ac:dyDescent="0.3">
      <c r="A81" s="197"/>
      <c r="B81" s="198"/>
      <c r="C81" s="198"/>
      <c r="D81" s="177"/>
      <c r="E81" s="177" t="s">
        <v>239</v>
      </c>
      <c r="F81" s="174"/>
      <c r="G81" s="200"/>
      <c r="H81" s="174"/>
      <c r="I81" s="174"/>
      <c r="J81" s="174">
        <v>2</v>
      </c>
      <c r="K81" s="174">
        <v>2</v>
      </c>
      <c r="L81" s="174"/>
      <c r="M81" s="174"/>
      <c r="N81" s="174"/>
      <c r="O81" s="174"/>
      <c r="P81" s="174"/>
      <c r="Q81" s="174"/>
    </row>
    <row r="82" spans="1:17" ht="14.4" x14ac:dyDescent="0.3">
      <c r="A82" s="197"/>
      <c r="B82" s="198"/>
      <c r="C82" s="198"/>
      <c r="D82" s="177"/>
      <c r="E82" s="177" t="s">
        <v>244</v>
      </c>
      <c r="F82" s="174"/>
      <c r="G82" s="200"/>
      <c r="H82" s="174"/>
      <c r="I82" s="174"/>
      <c r="J82" s="174">
        <v>2</v>
      </c>
      <c r="K82" s="174">
        <v>2</v>
      </c>
      <c r="L82" s="174"/>
      <c r="M82" s="174"/>
      <c r="N82" s="174"/>
      <c r="O82" s="174"/>
      <c r="P82" s="174"/>
      <c r="Q82" s="174"/>
    </row>
    <row r="83" spans="1:17" ht="57.6" x14ac:dyDescent="0.3">
      <c r="A83" s="197"/>
      <c r="B83" s="198"/>
      <c r="C83" s="198"/>
      <c r="D83" s="177"/>
      <c r="E83" s="177" t="s">
        <v>245</v>
      </c>
      <c r="F83" s="174"/>
      <c r="G83" s="200"/>
      <c r="H83" s="174"/>
      <c r="I83" s="174"/>
      <c r="J83" s="174">
        <v>2</v>
      </c>
      <c r="K83" s="174">
        <v>2</v>
      </c>
      <c r="L83" s="174"/>
      <c r="M83" s="174"/>
      <c r="N83" s="174"/>
      <c r="O83" s="174"/>
      <c r="P83" s="174"/>
      <c r="Q83" s="174"/>
    </row>
    <row r="84" spans="1:17" ht="43.2" x14ac:dyDescent="0.3">
      <c r="A84" s="197"/>
      <c r="B84" s="198"/>
      <c r="C84" s="198"/>
      <c r="D84" s="177"/>
      <c r="E84" s="177" t="s">
        <v>246</v>
      </c>
      <c r="F84" s="174"/>
      <c r="G84" s="200"/>
      <c r="H84" s="174"/>
      <c r="I84" s="174"/>
      <c r="J84" s="174">
        <v>2</v>
      </c>
      <c r="K84" s="174">
        <v>2</v>
      </c>
      <c r="L84" s="174"/>
      <c r="M84" s="174"/>
      <c r="N84" s="174"/>
      <c r="O84" s="174"/>
      <c r="P84" s="174"/>
      <c r="Q84" s="174"/>
    </row>
    <row r="85" spans="1:17" ht="43.2" x14ac:dyDescent="0.3">
      <c r="A85" s="197"/>
      <c r="B85" s="198"/>
      <c r="C85" s="198"/>
      <c r="D85" s="177"/>
      <c r="E85" s="177" t="s">
        <v>247</v>
      </c>
      <c r="F85" s="174"/>
      <c r="G85" s="200"/>
      <c r="H85" s="174"/>
      <c r="I85" s="174"/>
      <c r="J85" s="174">
        <v>2</v>
      </c>
      <c r="K85" s="174">
        <v>2</v>
      </c>
      <c r="L85" s="174"/>
      <c r="M85" s="174"/>
      <c r="N85" s="174"/>
      <c r="O85" s="174"/>
      <c r="P85" s="174"/>
      <c r="Q85" s="174"/>
    </row>
    <row r="86" spans="1:17" ht="43.2" x14ac:dyDescent="0.3">
      <c r="A86" s="197"/>
      <c r="B86" s="198"/>
      <c r="C86" s="198"/>
      <c r="D86" s="177"/>
      <c r="E86" s="177" t="s">
        <v>248</v>
      </c>
      <c r="F86" s="174"/>
      <c r="G86" s="200"/>
      <c r="H86" s="174"/>
      <c r="I86" s="174"/>
      <c r="J86" s="174">
        <v>2</v>
      </c>
      <c r="K86" s="174">
        <v>2</v>
      </c>
      <c r="L86" s="174"/>
      <c r="M86" s="174"/>
      <c r="N86" s="174"/>
      <c r="O86" s="174"/>
      <c r="P86" s="174"/>
      <c r="Q86" s="174"/>
    </row>
    <row r="87" spans="1:17" ht="14.4" x14ac:dyDescent="0.3">
      <c r="A87" s="197"/>
      <c r="B87" s="198"/>
      <c r="C87" s="198"/>
      <c r="D87" s="177"/>
      <c r="E87" s="177"/>
      <c r="F87" s="174"/>
      <c r="G87" s="200"/>
      <c r="H87" s="174"/>
      <c r="I87" s="174"/>
      <c r="J87" s="174"/>
      <c r="K87" s="174"/>
      <c r="L87" s="174"/>
      <c r="M87" s="174"/>
      <c r="N87" s="174"/>
      <c r="O87" s="174"/>
      <c r="P87" s="174"/>
      <c r="Q87" s="174"/>
    </row>
    <row r="88" spans="1:17" ht="28.8" x14ac:dyDescent="0.3">
      <c r="A88" s="195" t="s">
        <v>203</v>
      </c>
      <c r="B88" s="198"/>
      <c r="C88" s="198"/>
      <c r="D88" s="177" t="s">
        <v>203</v>
      </c>
      <c r="E88" s="177" t="s">
        <v>249</v>
      </c>
      <c r="F88" s="174">
        <v>1</v>
      </c>
      <c r="G88" s="200">
        <v>1</v>
      </c>
      <c r="H88" s="174"/>
      <c r="I88" s="174">
        <v>1</v>
      </c>
      <c r="J88" s="174">
        <v>3</v>
      </c>
      <c r="K88" s="174">
        <v>3</v>
      </c>
      <c r="L88" s="174">
        <v>2.5</v>
      </c>
      <c r="M88" s="174"/>
      <c r="N88" s="174"/>
      <c r="O88" s="174"/>
      <c r="P88" s="174"/>
      <c r="Q88" s="174"/>
    </row>
    <row r="89" spans="1:17" ht="100.8" x14ac:dyDescent="0.3">
      <c r="A89" s="197"/>
      <c r="B89" s="198"/>
      <c r="C89" s="198"/>
      <c r="D89" s="177"/>
      <c r="E89" s="177" t="s">
        <v>250</v>
      </c>
      <c r="F89" s="174"/>
      <c r="G89" s="200"/>
      <c r="H89" s="174"/>
      <c r="I89" s="174"/>
      <c r="J89" s="174">
        <v>2</v>
      </c>
      <c r="K89" s="174">
        <v>2</v>
      </c>
      <c r="L89" s="174"/>
      <c r="M89" s="174"/>
      <c r="N89" s="174"/>
      <c r="O89" s="174"/>
      <c r="P89" s="174"/>
      <c r="Q89" s="174"/>
    </row>
    <row r="90" spans="1:17" ht="43.2" x14ac:dyDescent="0.3">
      <c r="A90" s="197"/>
      <c r="B90" s="198"/>
      <c r="C90" s="198"/>
      <c r="D90" s="177"/>
      <c r="E90" s="177" t="s">
        <v>251</v>
      </c>
      <c r="F90" s="174"/>
      <c r="G90" s="200"/>
      <c r="H90" s="174"/>
      <c r="I90" s="174"/>
      <c r="J90" s="174">
        <v>2</v>
      </c>
      <c r="K90" s="174">
        <v>2</v>
      </c>
      <c r="L90" s="174"/>
      <c r="M90" s="174"/>
      <c r="N90" s="174"/>
      <c r="O90" s="174"/>
      <c r="P90" s="174"/>
      <c r="Q90" s="174"/>
    </row>
    <row r="91" spans="1:17" ht="14.4" x14ac:dyDescent="0.3">
      <c r="A91" s="197"/>
      <c r="B91" s="198"/>
      <c r="C91" s="198"/>
      <c r="D91" s="177"/>
      <c r="E91" s="177"/>
      <c r="F91" s="174"/>
      <c r="G91" s="200"/>
      <c r="H91" s="174"/>
      <c r="I91" s="174"/>
      <c r="J91" s="174"/>
      <c r="K91" s="174"/>
      <c r="L91" s="174"/>
      <c r="M91" s="174"/>
      <c r="N91" s="174"/>
      <c r="O91" s="174"/>
      <c r="P91" s="174"/>
      <c r="Q91" s="174"/>
    </row>
    <row r="92" spans="1:17" ht="28.8" x14ac:dyDescent="0.3">
      <c r="A92" s="197"/>
      <c r="B92" s="198" t="s">
        <v>214</v>
      </c>
      <c r="C92" s="198" t="s">
        <v>215</v>
      </c>
      <c r="D92" s="177" t="s">
        <v>216</v>
      </c>
      <c r="E92" s="177"/>
      <c r="F92" s="174"/>
      <c r="G92" s="200"/>
      <c r="H92" s="174"/>
      <c r="I92" s="174"/>
      <c r="J92" s="174">
        <v>7</v>
      </c>
      <c r="K92" s="174">
        <v>7</v>
      </c>
      <c r="L92" s="174">
        <v>1</v>
      </c>
      <c r="M92" s="174"/>
      <c r="N92" s="174"/>
      <c r="O92" s="174"/>
      <c r="P92" s="174"/>
      <c r="Q92" s="174"/>
    </row>
    <row r="93" spans="1:17" ht="28.8" x14ac:dyDescent="0.3">
      <c r="A93" s="197"/>
      <c r="B93" s="198"/>
      <c r="C93" s="198" t="s">
        <v>217</v>
      </c>
      <c r="D93" s="177" t="s">
        <v>252</v>
      </c>
      <c r="E93" s="177"/>
      <c r="F93" s="174"/>
      <c r="G93" s="200"/>
      <c r="H93" s="174"/>
      <c r="I93" s="174"/>
      <c r="J93" s="174">
        <v>10</v>
      </c>
      <c r="K93" s="174">
        <v>10</v>
      </c>
      <c r="L93" s="174">
        <v>1</v>
      </c>
      <c r="M93" s="174"/>
      <c r="N93" s="174"/>
      <c r="O93" s="174"/>
      <c r="P93" s="174"/>
      <c r="Q93" s="174"/>
    </row>
    <row r="94" spans="1:17" ht="14.4" x14ac:dyDescent="0.3">
      <c r="A94" s="197"/>
      <c r="B94" s="198"/>
      <c r="C94" s="198"/>
      <c r="D94" s="177"/>
      <c r="E94" s="177"/>
      <c r="F94" s="174"/>
      <c r="G94" s="200"/>
      <c r="H94" s="174"/>
      <c r="I94" s="174"/>
      <c r="J94" s="174"/>
      <c r="K94" s="174"/>
      <c r="L94" s="174"/>
      <c r="M94" s="174"/>
      <c r="N94" s="174"/>
      <c r="O94" s="174"/>
      <c r="P94" s="174"/>
      <c r="Q94" s="174"/>
    </row>
    <row r="95" spans="1:17" ht="14.4" x14ac:dyDescent="0.3">
      <c r="A95" s="197"/>
      <c r="B95" s="198"/>
      <c r="C95" s="198"/>
      <c r="D95" s="177"/>
      <c r="E95" s="177"/>
      <c r="F95" s="174"/>
      <c r="G95" s="200"/>
      <c r="H95" s="174"/>
      <c r="I95" s="174"/>
      <c r="J95" s="174"/>
      <c r="K95" s="174"/>
      <c r="L95" s="174"/>
      <c r="M95" s="174"/>
      <c r="N95" s="174"/>
      <c r="O95" s="174"/>
      <c r="P95" s="174"/>
      <c r="Q95" s="174"/>
    </row>
    <row r="96" spans="1:17" ht="28.8" x14ac:dyDescent="0.3">
      <c r="A96" s="197"/>
      <c r="B96" s="207" t="s">
        <v>253</v>
      </c>
      <c r="C96" s="173"/>
      <c r="D96" s="198"/>
      <c r="E96" s="177"/>
      <c r="F96" s="174"/>
      <c r="G96" s="200"/>
      <c r="H96" s="174"/>
      <c r="I96" s="174"/>
      <c r="J96" s="174"/>
      <c r="K96" s="174"/>
      <c r="L96" s="174"/>
      <c r="M96" s="174"/>
      <c r="N96" s="174"/>
      <c r="O96" s="174"/>
      <c r="P96" s="174"/>
      <c r="Q96" s="174"/>
    </row>
    <row r="97" spans="1:17" ht="14.4" x14ac:dyDescent="0.3">
      <c r="A97" s="197"/>
      <c r="B97" s="208" t="s">
        <v>220</v>
      </c>
      <c r="C97" s="208" t="s">
        <v>156</v>
      </c>
      <c r="D97" s="209" t="s">
        <v>157</v>
      </c>
      <c r="E97" s="210"/>
      <c r="F97" s="200">
        <v>1</v>
      </c>
      <c r="G97" s="200">
        <v>1</v>
      </c>
      <c r="H97" s="200"/>
      <c r="I97" s="200">
        <v>1</v>
      </c>
      <c r="J97" s="174">
        <v>2</v>
      </c>
      <c r="K97" s="174">
        <v>2</v>
      </c>
      <c r="L97" s="200"/>
      <c r="M97" s="200"/>
      <c r="N97" s="174"/>
      <c r="O97" s="174"/>
      <c r="P97" s="174"/>
      <c r="Q97" s="174"/>
    </row>
    <row r="98" spans="1:17" ht="14.4" x14ac:dyDescent="0.3">
      <c r="A98" s="197"/>
      <c r="B98" s="208"/>
      <c r="C98" s="208"/>
      <c r="D98" s="209" t="s">
        <v>158</v>
      </c>
      <c r="E98" s="210"/>
      <c r="F98" s="200"/>
      <c r="G98" s="200"/>
      <c r="H98" s="200"/>
      <c r="I98" s="200"/>
      <c r="J98" s="174">
        <v>1</v>
      </c>
      <c r="K98" s="174">
        <v>1</v>
      </c>
      <c r="L98" s="200"/>
      <c r="M98" s="200"/>
      <c r="N98" s="174"/>
      <c r="O98" s="174"/>
      <c r="P98" s="174"/>
      <c r="Q98" s="174"/>
    </row>
    <row r="99" spans="1:17" ht="14.4" x14ac:dyDescent="0.3">
      <c r="A99" s="197"/>
      <c r="B99" s="208"/>
      <c r="C99" s="208"/>
      <c r="D99" s="209" t="s">
        <v>159</v>
      </c>
      <c r="E99" s="210"/>
      <c r="F99" s="200"/>
      <c r="G99" s="200"/>
      <c r="H99" s="200"/>
      <c r="I99" s="200"/>
      <c r="J99" s="174">
        <v>6</v>
      </c>
      <c r="K99" s="174">
        <v>6</v>
      </c>
      <c r="L99" s="200"/>
      <c r="M99" s="200"/>
      <c r="N99" s="174"/>
      <c r="O99" s="174"/>
      <c r="P99" s="174"/>
      <c r="Q99" s="174"/>
    </row>
    <row r="100" spans="1:17" ht="14.4" x14ac:dyDescent="0.3">
      <c r="A100" s="197"/>
      <c r="B100" s="208"/>
      <c r="C100" s="208"/>
      <c r="D100" s="209" t="s">
        <v>160</v>
      </c>
      <c r="E100" s="210"/>
      <c r="F100" s="200"/>
      <c r="G100" s="200"/>
      <c r="H100" s="200"/>
      <c r="I100" s="200"/>
      <c r="J100" s="174">
        <v>5</v>
      </c>
      <c r="K100" s="174">
        <v>5</v>
      </c>
      <c r="L100" s="200"/>
      <c r="M100" s="200"/>
      <c r="N100" s="174"/>
      <c r="O100" s="174"/>
      <c r="P100" s="174"/>
      <c r="Q100" s="174"/>
    </row>
    <row r="101" spans="1:17" ht="14.4" x14ac:dyDescent="0.3">
      <c r="A101" s="197"/>
      <c r="B101" s="208"/>
      <c r="C101" s="208"/>
      <c r="D101" s="209" t="s">
        <v>161</v>
      </c>
      <c r="E101" s="210"/>
      <c r="F101" s="200"/>
      <c r="G101" s="200"/>
      <c r="H101" s="200"/>
      <c r="I101" s="200"/>
      <c r="J101" s="174">
        <v>1</v>
      </c>
      <c r="K101" s="174">
        <v>1</v>
      </c>
      <c r="L101" s="200"/>
      <c r="M101" s="200"/>
      <c r="N101" s="174"/>
      <c r="O101" s="174"/>
      <c r="P101" s="174"/>
      <c r="Q101" s="174"/>
    </row>
    <row r="102" spans="1:17" ht="14.4" x14ac:dyDescent="0.3">
      <c r="A102" s="197"/>
      <c r="B102" s="174"/>
      <c r="C102" s="174"/>
      <c r="D102" s="174"/>
      <c r="E102" s="211"/>
      <c r="F102" s="174"/>
      <c r="G102" s="174"/>
      <c r="H102" s="174"/>
      <c r="I102" s="174"/>
      <c r="J102" s="174"/>
      <c r="K102" s="174"/>
      <c r="L102" s="174"/>
      <c r="M102" s="174"/>
      <c r="N102" s="174"/>
      <c r="O102" s="174"/>
      <c r="P102" s="174"/>
      <c r="Q102" s="174"/>
    </row>
    <row r="103" spans="1:17" ht="57.6" x14ac:dyDescent="0.3">
      <c r="A103" s="197" t="s">
        <v>221</v>
      </c>
      <c r="B103" s="198" t="s">
        <v>254</v>
      </c>
      <c r="C103" s="198" t="s">
        <v>14</v>
      </c>
      <c r="D103" s="177" t="s">
        <v>255</v>
      </c>
      <c r="E103" s="212"/>
      <c r="F103" s="174">
        <v>1</v>
      </c>
      <c r="G103" s="200">
        <v>1</v>
      </c>
      <c r="H103" s="174"/>
      <c r="I103" s="174">
        <v>1</v>
      </c>
      <c r="J103" s="174">
        <v>2</v>
      </c>
      <c r="K103" s="174">
        <v>2</v>
      </c>
      <c r="L103" s="174">
        <v>2</v>
      </c>
      <c r="M103" s="174"/>
      <c r="N103" s="174"/>
      <c r="O103" s="174"/>
      <c r="P103" s="174"/>
      <c r="Q103" s="174"/>
    </row>
    <row r="104" spans="1:17" ht="43.2" x14ac:dyDescent="0.3">
      <c r="A104" s="197"/>
      <c r="B104" s="198"/>
      <c r="C104" s="173"/>
      <c r="D104" s="177" t="s">
        <v>256</v>
      </c>
      <c r="E104" s="177" t="s">
        <v>257</v>
      </c>
      <c r="F104" s="174">
        <v>1</v>
      </c>
      <c r="G104" s="200">
        <v>1</v>
      </c>
      <c r="H104" s="174"/>
      <c r="I104" s="174">
        <v>1</v>
      </c>
      <c r="J104" s="174">
        <v>5</v>
      </c>
      <c r="K104" s="174">
        <v>5</v>
      </c>
      <c r="L104" s="174">
        <v>2</v>
      </c>
      <c r="M104" s="174"/>
      <c r="N104" s="174"/>
      <c r="O104" s="174"/>
      <c r="P104" s="174"/>
      <c r="Q104" s="174"/>
    </row>
    <row r="105" spans="1:17" ht="57.6" x14ac:dyDescent="0.3">
      <c r="A105" s="197"/>
      <c r="B105" s="198"/>
      <c r="C105" s="173"/>
      <c r="D105" s="177" t="s">
        <v>258</v>
      </c>
      <c r="E105" s="177"/>
      <c r="F105" s="174">
        <v>1</v>
      </c>
      <c r="G105" s="200">
        <v>1</v>
      </c>
      <c r="H105" s="174"/>
      <c r="I105" s="174">
        <v>1</v>
      </c>
      <c r="J105" s="174">
        <v>3</v>
      </c>
      <c r="K105" s="174">
        <v>3</v>
      </c>
      <c r="L105" s="174">
        <v>2</v>
      </c>
      <c r="M105" s="174"/>
      <c r="N105" s="174"/>
      <c r="O105" s="174"/>
      <c r="P105" s="174"/>
      <c r="Q105" s="174"/>
    </row>
    <row r="106" spans="1:17" ht="14.4" x14ac:dyDescent="0.3">
      <c r="A106" s="197"/>
      <c r="B106" s="198"/>
      <c r="C106" s="173"/>
      <c r="D106" s="177"/>
      <c r="E106" s="177"/>
      <c r="F106" s="174"/>
      <c r="G106" s="200"/>
      <c r="H106" s="174"/>
      <c r="I106" s="174"/>
      <c r="J106" s="174"/>
      <c r="K106" s="174"/>
      <c r="L106" s="174"/>
      <c r="M106" s="174"/>
      <c r="N106" s="174"/>
      <c r="O106" s="174"/>
      <c r="P106" s="174"/>
      <c r="Q106" s="174"/>
    </row>
    <row r="107" spans="1:17" ht="100.8" x14ac:dyDescent="0.3">
      <c r="A107" s="197" t="s">
        <v>259</v>
      </c>
      <c r="B107" s="198"/>
      <c r="C107" s="273" t="s">
        <v>260</v>
      </c>
      <c r="D107" s="177" t="s">
        <v>261</v>
      </c>
      <c r="E107" s="177" t="s">
        <v>262</v>
      </c>
      <c r="F107" s="174">
        <v>1</v>
      </c>
      <c r="G107" s="200">
        <v>1</v>
      </c>
      <c r="H107" s="174"/>
      <c r="I107" s="174">
        <v>1</v>
      </c>
      <c r="J107" s="174">
        <v>3</v>
      </c>
      <c r="K107" s="174">
        <v>3</v>
      </c>
      <c r="L107" s="174">
        <v>2</v>
      </c>
      <c r="M107" s="174"/>
      <c r="N107" s="174"/>
      <c r="O107" s="174"/>
      <c r="P107" s="174"/>
      <c r="Q107" s="174"/>
    </row>
    <row r="108" spans="1:17" ht="43.2" x14ac:dyDescent="0.3">
      <c r="A108" s="197"/>
      <c r="B108" s="198"/>
      <c r="C108" s="173"/>
      <c r="D108" s="177"/>
      <c r="E108" s="177" t="s">
        <v>263</v>
      </c>
      <c r="F108" s="174"/>
      <c r="G108" s="200"/>
      <c r="H108" s="174"/>
      <c r="I108" s="174"/>
      <c r="J108" s="174">
        <v>2</v>
      </c>
      <c r="K108" s="174">
        <v>2</v>
      </c>
      <c r="L108" s="174"/>
      <c r="M108" s="174"/>
      <c r="N108" s="174"/>
      <c r="O108" s="174"/>
      <c r="P108" s="174"/>
      <c r="Q108" s="174"/>
    </row>
    <row r="109" spans="1:17" ht="14.4" x14ac:dyDescent="0.3">
      <c r="A109" s="197"/>
      <c r="B109" s="198"/>
      <c r="C109" s="173"/>
      <c r="D109" s="177"/>
      <c r="E109" s="177"/>
      <c r="F109" s="174"/>
      <c r="G109" s="200"/>
      <c r="H109" s="174"/>
      <c r="I109" s="174"/>
      <c r="J109" s="174"/>
      <c r="K109" s="174"/>
      <c r="L109" s="174"/>
      <c r="M109" s="174"/>
      <c r="N109" s="174"/>
      <c r="O109" s="174"/>
      <c r="P109" s="174"/>
      <c r="Q109" s="174"/>
    </row>
    <row r="110" spans="1:17" ht="28.8" x14ac:dyDescent="0.3">
      <c r="A110" s="195" t="s">
        <v>264</v>
      </c>
      <c r="B110" s="198"/>
      <c r="C110" s="195" t="s">
        <v>264</v>
      </c>
      <c r="D110" s="173" t="s">
        <v>265</v>
      </c>
      <c r="E110" s="211"/>
      <c r="F110" s="174">
        <v>1</v>
      </c>
      <c r="G110" s="200">
        <v>1</v>
      </c>
      <c r="H110" s="174"/>
      <c r="I110" s="174">
        <v>1</v>
      </c>
      <c r="J110" s="174">
        <v>3</v>
      </c>
      <c r="K110" s="174">
        <v>3</v>
      </c>
      <c r="L110" s="174">
        <v>4</v>
      </c>
      <c r="M110" s="174"/>
      <c r="N110" s="174"/>
      <c r="O110" s="174"/>
      <c r="P110" s="174"/>
      <c r="Q110" s="174"/>
    </row>
    <row r="111" spans="1:17" ht="28.8" x14ac:dyDescent="0.3">
      <c r="A111" s="197"/>
      <c r="B111" s="198"/>
      <c r="C111" s="198"/>
      <c r="D111" s="173" t="s">
        <v>266</v>
      </c>
      <c r="E111" s="211"/>
      <c r="F111" s="174"/>
      <c r="G111" s="200"/>
      <c r="H111" s="174"/>
      <c r="I111" s="174"/>
      <c r="J111" s="174">
        <v>2</v>
      </c>
      <c r="K111" s="174">
        <v>2</v>
      </c>
      <c r="L111" s="174"/>
      <c r="M111" s="174"/>
      <c r="N111" s="174"/>
      <c r="O111" s="174"/>
      <c r="P111" s="174"/>
      <c r="Q111" s="174"/>
    </row>
    <row r="112" spans="1:17" ht="43.2" x14ac:dyDescent="0.3">
      <c r="A112" s="197"/>
      <c r="B112" s="198"/>
      <c r="C112" s="198"/>
      <c r="D112" s="173" t="s">
        <v>267</v>
      </c>
      <c r="E112" s="211"/>
      <c r="F112" s="174"/>
      <c r="G112" s="174"/>
      <c r="H112" s="174"/>
      <c r="I112" s="174"/>
      <c r="J112" s="174">
        <v>2</v>
      </c>
      <c r="K112" s="174">
        <v>2</v>
      </c>
      <c r="L112" s="174"/>
      <c r="M112" s="174"/>
      <c r="N112" s="174"/>
      <c r="O112" s="174"/>
      <c r="P112" s="174"/>
      <c r="Q112" s="174"/>
    </row>
    <row r="113" spans="1:17" ht="72" x14ac:dyDescent="0.3">
      <c r="A113" s="197"/>
      <c r="B113" s="198"/>
      <c r="C113" s="198"/>
      <c r="D113" s="173" t="s">
        <v>268</v>
      </c>
      <c r="E113" s="211"/>
      <c r="F113" s="174"/>
      <c r="G113" s="174"/>
      <c r="H113" s="174"/>
      <c r="I113" s="174"/>
      <c r="J113" s="174">
        <v>2</v>
      </c>
      <c r="K113" s="174">
        <v>2</v>
      </c>
      <c r="L113" s="174"/>
      <c r="M113" s="174"/>
      <c r="N113" s="174"/>
      <c r="O113" s="174"/>
      <c r="P113" s="174"/>
      <c r="Q113" s="174"/>
    </row>
    <row r="114" spans="1:17" ht="28.8" x14ac:dyDescent="0.3">
      <c r="A114" s="197"/>
      <c r="B114" s="198"/>
      <c r="C114" s="198"/>
      <c r="D114" s="173" t="s">
        <v>269</v>
      </c>
      <c r="E114" s="211"/>
      <c r="F114" s="174"/>
      <c r="G114" s="174"/>
      <c r="H114" s="174"/>
      <c r="I114" s="174"/>
      <c r="J114" s="174">
        <v>1</v>
      </c>
      <c r="K114" s="174">
        <v>1</v>
      </c>
      <c r="L114" s="174"/>
      <c r="M114" s="174"/>
      <c r="N114" s="174"/>
      <c r="O114" s="174"/>
      <c r="P114" s="174"/>
      <c r="Q114" s="174"/>
    </row>
    <row r="115" spans="1:17" ht="14.4" x14ac:dyDescent="0.3">
      <c r="A115" s="197"/>
      <c r="B115" s="198"/>
      <c r="C115" s="198"/>
      <c r="D115" s="173" t="s">
        <v>270</v>
      </c>
      <c r="E115" s="211"/>
      <c r="F115" s="174"/>
      <c r="G115" s="174"/>
      <c r="H115" s="174"/>
      <c r="I115" s="174"/>
      <c r="J115" s="174">
        <v>1</v>
      </c>
      <c r="K115" s="174">
        <v>1</v>
      </c>
      <c r="L115" s="174"/>
      <c r="M115" s="174"/>
      <c r="N115" s="174"/>
      <c r="O115" s="174"/>
      <c r="P115" s="174"/>
      <c r="Q115" s="174"/>
    </row>
    <row r="116" spans="1:17" ht="28.8" x14ac:dyDescent="0.3">
      <c r="A116" s="197"/>
      <c r="B116" s="198"/>
      <c r="C116" s="198"/>
      <c r="D116" s="173" t="s">
        <v>271</v>
      </c>
      <c r="E116" s="211"/>
      <c r="F116" s="174"/>
      <c r="G116" s="174"/>
      <c r="H116" s="174"/>
      <c r="I116" s="174"/>
      <c r="J116" s="174">
        <v>2</v>
      </c>
      <c r="K116" s="174">
        <v>2</v>
      </c>
      <c r="L116" s="174"/>
      <c r="M116" s="174"/>
      <c r="N116" s="174"/>
      <c r="O116" s="174"/>
      <c r="P116" s="174"/>
      <c r="Q116" s="174"/>
    </row>
    <row r="117" spans="1:17" ht="28.8" x14ac:dyDescent="0.3">
      <c r="A117" s="197"/>
      <c r="B117" s="198"/>
      <c r="C117" s="198"/>
      <c r="D117" s="173" t="s">
        <v>272</v>
      </c>
      <c r="E117" s="211"/>
      <c r="F117" s="174"/>
      <c r="G117" s="174"/>
      <c r="H117" s="174"/>
      <c r="I117" s="174"/>
      <c r="J117" s="174">
        <v>1</v>
      </c>
      <c r="K117" s="174">
        <v>1</v>
      </c>
      <c r="L117" s="174"/>
      <c r="M117" s="174"/>
      <c r="N117" s="174"/>
      <c r="O117" s="174"/>
      <c r="P117" s="174"/>
      <c r="Q117" s="174"/>
    </row>
    <row r="118" spans="1:17" ht="14.4" x14ac:dyDescent="0.3">
      <c r="A118" s="197"/>
      <c r="B118" s="198"/>
      <c r="C118" s="198"/>
      <c r="D118" s="173"/>
      <c r="E118" s="211"/>
      <c r="F118" s="174"/>
      <c r="G118" s="174"/>
      <c r="H118" s="174"/>
      <c r="I118" s="174"/>
      <c r="J118" s="174"/>
      <c r="K118" s="174"/>
      <c r="L118" s="174"/>
      <c r="M118" s="174"/>
      <c r="N118" s="174"/>
      <c r="O118" s="174"/>
      <c r="P118" s="174"/>
      <c r="Q118" s="174"/>
    </row>
    <row r="119" spans="1:17" ht="15.6" x14ac:dyDescent="0.3">
      <c r="A119" s="213" t="s">
        <v>273</v>
      </c>
      <c r="B119" s="198"/>
      <c r="C119" s="213" t="s">
        <v>273</v>
      </c>
      <c r="D119" s="173" t="s">
        <v>274</v>
      </c>
      <c r="E119" s="177"/>
      <c r="F119" s="174">
        <v>1</v>
      </c>
      <c r="G119" s="200">
        <v>1</v>
      </c>
      <c r="H119" s="174"/>
      <c r="I119" s="174">
        <v>1</v>
      </c>
      <c r="J119" s="174">
        <v>2</v>
      </c>
      <c r="K119" s="174">
        <v>2</v>
      </c>
      <c r="L119" s="174">
        <v>3</v>
      </c>
      <c r="M119" s="174"/>
      <c r="N119" s="174"/>
      <c r="O119" s="174"/>
      <c r="P119" s="174"/>
      <c r="Q119" s="174"/>
    </row>
    <row r="120" spans="1:17" ht="28.8" x14ac:dyDescent="0.3">
      <c r="A120" s="197"/>
      <c r="B120" s="198"/>
      <c r="C120" s="198"/>
      <c r="D120" s="173" t="s">
        <v>275</v>
      </c>
      <c r="E120" s="177"/>
      <c r="F120" s="174"/>
      <c r="G120" s="174"/>
      <c r="H120" s="174"/>
      <c r="I120" s="174"/>
      <c r="J120" s="174">
        <v>3</v>
      </c>
      <c r="K120" s="174">
        <v>3</v>
      </c>
      <c r="L120" s="174"/>
      <c r="M120" s="174"/>
      <c r="N120" s="174"/>
      <c r="O120" s="174"/>
      <c r="P120" s="174"/>
      <c r="Q120" s="174"/>
    </row>
    <row r="121" spans="1:17" ht="14.4" x14ac:dyDescent="0.3">
      <c r="A121" s="197"/>
      <c r="B121" s="198"/>
      <c r="C121" s="198"/>
      <c r="D121" s="173" t="s">
        <v>276</v>
      </c>
      <c r="E121" s="177"/>
      <c r="F121" s="174"/>
      <c r="G121" s="174"/>
      <c r="H121" s="174"/>
      <c r="I121" s="174"/>
      <c r="J121" s="174">
        <v>3</v>
      </c>
      <c r="K121" s="174">
        <v>3</v>
      </c>
      <c r="L121" s="174"/>
      <c r="M121" s="174"/>
      <c r="N121" s="174"/>
      <c r="O121" s="174"/>
      <c r="P121" s="174"/>
      <c r="Q121" s="174"/>
    </row>
    <row r="122" spans="1:17" ht="14.4" x14ac:dyDescent="0.3">
      <c r="A122" s="197"/>
      <c r="B122" s="198"/>
      <c r="C122" s="198"/>
      <c r="D122" s="173" t="s">
        <v>277</v>
      </c>
      <c r="E122" s="177"/>
      <c r="F122" s="174"/>
      <c r="G122" s="174"/>
      <c r="H122" s="174"/>
      <c r="I122" s="174"/>
      <c r="J122" s="174">
        <v>3</v>
      </c>
      <c r="K122" s="174">
        <v>3</v>
      </c>
      <c r="L122" s="174"/>
      <c r="M122" s="174"/>
      <c r="N122" s="174"/>
      <c r="O122" s="174"/>
      <c r="P122" s="174"/>
      <c r="Q122" s="174"/>
    </row>
    <row r="123" spans="1:17" ht="14.4" x14ac:dyDescent="0.3">
      <c r="A123" s="197"/>
      <c r="B123" s="198"/>
      <c r="C123" s="198"/>
      <c r="D123" s="173" t="s">
        <v>278</v>
      </c>
      <c r="E123" s="177"/>
      <c r="F123" s="174"/>
      <c r="G123" s="174"/>
      <c r="H123" s="174"/>
      <c r="I123" s="174"/>
      <c r="J123" s="174">
        <v>3</v>
      </c>
      <c r="K123" s="174">
        <v>3</v>
      </c>
      <c r="L123" s="174"/>
      <c r="M123" s="174"/>
      <c r="N123" s="174"/>
      <c r="O123" s="174"/>
      <c r="P123" s="174"/>
      <c r="Q123" s="174"/>
    </row>
    <row r="124" spans="1:17" ht="14.4" x14ac:dyDescent="0.3">
      <c r="A124" s="197"/>
      <c r="B124" s="198"/>
      <c r="C124" s="198"/>
      <c r="D124" s="173" t="s">
        <v>279</v>
      </c>
      <c r="E124" s="177"/>
      <c r="F124" s="174"/>
      <c r="G124" s="174"/>
      <c r="H124" s="174"/>
      <c r="I124" s="174"/>
      <c r="J124" s="174">
        <v>3</v>
      </c>
      <c r="K124" s="174">
        <v>3</v>
      </c>
      <c r="L124" s="174"/>
      <c r="M124" s="174"/>
      <c r="N124" s="174"/>
      <c r="O124" s="174"/>
      <c r="P124" s="174"/>
      <c r="Q124" s="174"/>
    </row>
    <row r="125" spans="1:17" ht="14.4" x14ac:dyDescent="0.3">
      <c r="A125" s="197"/>
      <c r="B125" s="198"/>
      <c r="C125" s="198"/>
      <c r="D125" s="173" t="s">
        <v>280</v>
      </c>
      <c r="E125" s="177"/>
      <c r="F125" s="174"/>
      <c r="G125" s="174"/>
      <c r="H125" s="174"/>
      <c r="I125" s="174"/>
      <c r="J125" s="174">
        <v>2</v>
      </c>
      <c r="K125" s="174">
        <v>2</v>
      </c>
      <c r="L125" s="174"/>
      <c r="M125" s="174"/>
      <c r="N125" s="174"/>
      <c r="O125" s="174"/>
      <c r="P125" s="174"/>
      <c r="Q125" s="174"/>
    </row>
    <row r="126" spans="1:17" ht="14.4" x14ac:dyDescent="0.3">
      <c r="A126" s="197"/>
      <c r="B126" s="198"/>
      <c r="C126" s="198"/>
      <c r="D126" s="173" t="s">
        <v>281</v>
      </c>
      <c r="E126" s="177"/>
      <c r="F126" s="174"/>
      <c r="G126" s="174"/>
      <c r="H126" s="174"/>
      <c r="I126" s="174"/>
      <c r="J126" s="174">
        <v>2</v>
      </c>
      <c r="K126" s="174">
        <v>2</v>
      </c>
      <c r="L126" s="174"/>
      <c r="M126" s="174"/>
      <c r="N126" s="174"/>
      <c r="O126" s="174"/>
      <c r="P126" s="174"/>
      <c r="Q126" s="174"/>
    </row>
    <row r="127" spans="1:17" ht="14.4" x14ac:dyDescent="0.3">
      <c r="A127" s="197"/>
      <c r="B127" s="198"/>
      <c r="C127" s="198"/>
      <c r="D127" s="173" t="s">
        <v>282</v>
      </c>
      <c r="E127" s="177"/>
      <c r="F127" s="174"/>
      <c r="G127" s="174"/>
      <c r="H127" s="174"/>
      <c r="I127" s="174"/>
      <c r="J127" s="174">
        <v>3</v>
      </c>
      <c r="K127" s="174">
        <v>3</v>
      </c>
      <c r="L127" s="174"/>
      <c r="M127" s="174"/>
      <c r="N127" s="174"/>
      <c r="O127" s="174"/>
      <c r="P127" s="174"/>
      <c r="Q127" s="174"/>
    </row>
    <row r="128" spans="1:17" ht="14.4" x14ac:dyDescent="0.3">
      <c r="A128" s="197"/>
      <c r="B128" s="198"/>
      <c r="C128" s="198"/>
      <c r="D128" s="173" t="s">
        <v>283</v>
      </c>
      <c r="E128" s="177"/>
      <c r="F128" s="174"/>
      <c r="G128" s="174"/>
      <c r="H128" s="174"/>
      <c r="I128" s="174"/>
      <c r="J128" s="174">
        <v>3</v>
      </c>
      <c r="K128" s="174">
        <v>3</v>
      </c>
      <c r="L128" s="174"/>
      <c r="M128" s="174"/>
      <c r="N128" s="174"/>
      <c r="O128" s="174"/>
      <c r="P128" s="174"/>
      <c r="Q128" s="174"/>
    </row>
    <row r="129" spans="1:17" ht="14.4" x14ac:dyDescent="0.3">
      <c r="A129" s="197"/>
      <c r="B129" s="198"/>
      <c r="C129" s="198"/>
      <c r="D129" s="173" t="s">
        <v>284</v>
      </c>
      <c r="E129" s="177"/>
      <c r="F129" s="174"/>
      <c r="G129" s="174"/>
      <c r="H129" s="174"/>
      <c r="I129" s="174"/>
      <c r="J129" s="174">
        <v>5</v>
      </c>
      <c r="K129" s="174">
        <v>5</v>
      </c>
      <c r="L129" s="174"/>
      <c r="M129" s="174"/>
      <c r="N129" s="174"/>
      <c r="O129" s="174"/>
      <c r="P129" s="174"/>
      <c r="Q129" s="174"/>
    </row>
    <row r="130" spans="1:17" ht="14.4" x14ac:dyDescent="0.3">
      <c r="A130" s="197"/>
      <c r="B130" s="198"/>
      <c r="C130" s="198"/>
      <c r="D130" s="173"/>
      <c r="E130" s="177"/>
      <c r="F130" s="174"/>
      <c r="G130" s="174"/>
      <c r="H130" s="174"/>
      <c r="I130" s="174"/>
      <c r="J130" s="174"/>
      <c r="K130" s="174"/>
      <c r="L130" s="174"/>
      <c r="M130" s="174"/>
      <c r="N130" s="174"/>
      <c r="O130" s="174"/>
      <c r="P130" s="174"/>
      <c r="Q130" s="174"/>
    </row>
    <row r="131" spans="1:17" ht="72" x14ac:dyDescent="0.3">
      <c r="A131" s="213" t="s">
        <v>15</v>
      </c>
      <c r="B131" s="198"/>
      <c r="C131" s="213" t="s">
        <v>15</v>
      </c>
      <c r="D131" s="177" t="s">
        <v>285</v>
      </c>
      <c r="E131" s="177"/>
      <c r="F131" s="174">
        <v>1</v>
      </c>
      <c r="G131" s="200">
        <v>1</v>
      </c>
      <c r="H131" s="174"/>
      <c r="I131" s="174">
        <v>1</v>
      </c>
      <c r="J131" s="174">
        <v>2</v>
      </c>
      <c r="K131" s="174">
        <v>2</v>
      </c>
      <c r="L131" s="174">
        <v>2</v>
      </c>
      <c r="M131" s="174"/>
      <c r="N131" s="174"/>
      <c r="O131" s="174"/>
      <c r="P131" s="174"/>
      <c r="Q131" s="174"/>
    </row>
    <row r="132" spans="1:17" ht="57.6" x14ac:dyDescent="0.3">
      <c r="A132" s="274" t="s">
        <v>286</v>
      </c>
      <c r="B132" s="198"/>
      <c r="C132" s="198"/>
      <c r="D132" s="274" t="s">
        <v>286</v>
      </c>
      <c r="E132" s="177" t="s">
        <v>287</v>
      </c>
      <c r="F132" s="174">
        <v>1</v>
      </c>
      <c r="G132" s="200">
        <v>1</v>
      </c>
      <c r="H132" s="174"/>
      <c r="I132" s="174">
        <v>1</v>
      </c>
      <c r="J132" s="174">
        <v>3</v>
      </c>
      <c r="K132" s="174">
        <v>3</v>
      </c>
      <c r="L132" s="174">
        <v>5</v>
      </c>
      <c r="M132" s="174"/>
      <c r="N132" s="174"/>
      <c r="O132" s="174"/>
      <c r="P132" s="174"/>
      <c r="Q132" s="174"/>
    </row>
    <row r="133" spans="1:17" ht="14.4" x14ac:dyDescent="0.3">
      <c r="A133" s="197"/>
      <c r="B133" s="198"/>
      <c r="C133" s="198"/>
      <c r="D133" s="177"/>
      <c r="E133" s="177" t="s">
        <v>288</v>
      </c>
      <c r="F133" s="174"/>
      <c r="G133" s="174"/>
      <c r="H133" s="174"/>
      <c r="I133" s="174"/>
      <c r="J133" s="174">
        <v>2</v>
      </c>
      <c r="K133" s="174">
        <v>2</v>
      </c>
      <c r="L133" s="174"/>
      <c r="M133" s="174"/>
      <c r="N133" s="174"/>
      <c r="O133" s="174"/>
      <c r="P133" s="174"/>
      <c r="Q133" s="174"/>
    </row>
    <row r="134" spans="1:17" ht="14.4" x14ac:dyDescent="0.3">
      <c r="A134" s="197"/>
      <c r="B134" s="198"/>
      <c r="C134" s="198"/>
      <c r="D134" s="177"/>
      <c r="E134" s="177" t="s">
        <v>289</v>
      </c>
      <c r="F134" s="174"/>
      <c r="G134" s="174"/>
      <c r="H134" s="174"/>
      <c r="I134" s="174"/>
      <c r="J134" s="174">
        <v>2</v>
      </c>
      <c r="K134" s="174">
        <v>2</v>
      </c>
      <c r="L134" s="174"/>
      <c r="M134" s="174"/>
      <c r="N134" s="174"/>
      <c r="O134" s="174"/>
      <c r="P134" s="174"/>
      <c r="Q134" s="174"/>
    </row>
    <row r="135" spans="1:17" ht="28.8" x14ac:dyDescent="0.3">
      <c r="A135" s="197"/>
      <c r="B135" s="198"/>
      <c r="C135" s="198"/>
      <c r="D135" s="177"/>
      <c r="E135" s="177" t="s">
        <v>290</v>
      </c>
      <c r="F135" s="174"/>
      <c r="G135" s="174"/>
      <c r="H135" s="174"/>
      <c r="I135" s="174"/>
      <c r="J135" s="174">
        <v>2</v>
      </c>
      <c r="K135" s="174">
        <v>2</v>
      </c>
      <c r="L135" s="174"/>
      <c r="M135" s="174"/>
      <c r="N135" s="174"/>
      <c r="O135" s="174"/>
      <c r="P135" s="174"/>
      <c r="Q135" s="174"/>
    </row>
    <row r="136" spans="1:17" ht="57.6" x14ac:dyDescent="0.3">
      <c r="A136" s="195" t="s">
        <v>188</v>
      </c>
      <c r="B136" s="198"/>
      <c r="C136" s="198"/>
      <c r="D136" s="195" t="s">
        <v>188</v>
      </c>
      <c r="E136" s="177" t="s">
        <v>291</v>
      </c>
      <c r="F136" s="174">
        <v>1</v>
      </c>
      <c r="G136" s="200">
        <v>1</v>
      </c>
      <c r="H136" s="174"/>
      <c r="I136" s="174">
        <v>1</v>
      </c>
      <c r="J136" s="174">
        <v>3</v>
      </c>
      <c r="K136" s="174">
        <v>3</v>
      </c>
      <c r="L136" s="174">
        <v>5</v>
      </c>
      <c r="M136" s="174"/>
      <c r="N136" s="174"/>
      <c r="O136" s="174"/>
      <c r="P136" s="174"/>
      <c r="Q136" s="174"/>
    </row>
    <row r="137" spans="1:17" ht="14.4" x14ac:dyDescent="0.3">
      <c r="A137" s="197"/>
      <c r="B137" s="198"/>
      <c r="C137" s="198"/>
      <c r="D137" s="177"/>
      <c r="E137" s="177" t="s">
        <v>288</v>
      </c>
      <c r="F137" s="174"/>
      <c r="G137" s="174"/>
      <c r="H137" s="174"/>
      <c r="I137" s="174"/>
      <c r="J137" s="174">
        <v>2</v>
      </c>
      <c r="K137" s="174">
        <v>2</v>
      </c>
      <c r="L137" s="174"/>
      <c r="M137" s="174"/>
      <c r="N137" s="174"/>
      <c r="O137" s="174"/>
      <c r="P137" s="174"/>
      <c r="Q137" s="174"/>
    </row>
    <row r="138" spans="1:17" ht="14.4" x14ac:dyDescent="0.3">
      <c r="A138" s="197"/>
      <c r="B138" s="198"/>
      <c r="C138" s="198"/>
      <c r="D138" s="177"/>
      <c r="E138" s="177" t="s">
        <v>289</v>
      </c>
      <c r="F138" s="174"/>
      <c r="G138" s="174"/>
      <c r="H138" s="174"/>
      <c r="I138" s="174"/>
      <c r="J138" s="174">
        <v>2</v>
      </c>
      <c r="K138" s="174">
        <v>2</v>
      </c>
      <c r="L138" s="174"/>
      <c r="M138" s="174"/>
      <c r="N138" s="174"/>
      <c r="O138" s="174"/>
      <c r="P138" s="174"/>
      <c r="Q138" s="174"/>
    </row>
    <row r="139" spans="1:17" ht="28.8" x14ac:dyDescent="0.3">
      <c r="A139" s="197"/>
      <c r="B139" s="198"/>
      <c r="C139" s="198"/>
      <c r="D139" s="177"/>
      <c r="E139" s="177" t="s">
        <v>290</v>
      </c>
      <c r="F139" s="174"/>
      <c r="G139" s="174"/>
      <c r="H139" s="174"/>
      <c r="I139" s="174"/>
      <c r="J139" s="174">
        <v>2</v>
      </c>
      <c r="K139" s="174">
        <v>2</v>
      </c>
      <c r="L139" s="174"/>
      <c r="M139" s="174"/>
      <c r="N139" s="174"/>
      <c r="O139" s="174"/>
      <c r="P139" s="174"/>
      <c r="Q139" s="174"/>
    </row>
    <row r="140" spans="1:17" ht="86.4" x14ac:dyDescent="0.3">
      <c r="A140" s="214" t="s">
        <v>292</v>
      </c>
      <c r="B140" s="198"/>
      <c r="C140" s="198"/>
      <c r="D140" s="214" t="s">
        <v>292</v>
      </c>
      <c r="E140" s="177" t="s">
        <v>293</v>
      </c>
      <c r="F140" s="216">
        <v>1</v>
      </c>
      <c r="G140" s="215">
        <v>1</v>
      </c>
      <c r="H140" s="216"/>
      <c r="I140" s="216">
        <v>1</v>
      </c>
      <c r="J140" s="174">
        <v>4</v>
      </c>
      <c r="K140" s="174">
        <v>4</v>
      </c>
      <c r="L140" s="174">
        <v>5</v>
      </c>
      <c r="M140" s="174"/>
      <c r="N140" s="174"/>
      <c r="O140" s="174"/>
      <c r="P140" s="174"/>
      <c r="Q140" s="174"/>
    </row>
    <row r="141" spans="1:17" ht="14.4" x14ac:dyDescent="0.3">
      <c r="A141" s="197"/>
      <c r="B141" s="198"/>
      <c r="C141" s="198"/>
      <c r="D141" s="177"/>
      <c r="E141" s="177" t="s">
        <v>288</v>
      </c>
      <c r="F141" s="174"/>
      <c r="G141" s="174"/>
      <c r="H141" s="174"/>
      <c r="I141" s="174"/>
      <c r="J141" s="174">
        <v>1</v>
      </c>
      <c r="K141" s="174">
        <v>1</v>
      </c>
      <c r="L141" s="174"/>
      <c r="M141" s="174"/>
      <c r="N141" s="174"/>
      <c r="O141" s="174"/>
      <c r="P141" s="174"/>
      <c r="Q141" s="174"/>
    </row>
    <row r="142" spans="1:17" ht="14.4" x14ac:dyDescent="0.3">
      <c r="A142" s="197"/>
      <c r="B142" s="198"/>
      <c r="C142" s="174"/>
      <c r="D142" s="174"/>
      <c r="E142" s="177" t="s">
        <v>289</v>
      </c>
      <c r="F142" s="174"/>
      <c r="G142" s="174"/>
      <c r="H142" s="174"/>
      <c r="I142" s="174"/>
      <c r="J142" s="174">
        <v>1</v>
      </c>
      <c r="K142" s="174">
        <v>1</v>
      </c>
      <c r="L142" s="174"/>
      <c r="M142" s="174"/>
      <c r="N142" s="174"/>
      <c r="O142" s="174"/>
      <c r="P142" s="174"/>
      <c r="Q142" s="174"/>
    </row>
    <row r="143" spans="1:17" ht="28.8" x14ac:dyDescent="0.3">
      <c r="A143" s="197"/>
      <c r="B143" s="198"/>
      <c r="C143" s="174"/>
      <c r="D143" s="174"/>
      <c r="E143" s="177" t="s">
        <v>290</v>
      </c>
      <c r="F143" s="174"/>
      <c r="G143" s="174"/>
      <c r="H143" s="174"/>
      <c r="I143" s="174"/>
      <c r="J143" s="174">
        <v>1</v>
      </c>
      <c r="K143" s="174">
        <v>1</v>
      </c>
      <c r="L143" s="174"/>
      <c r="M143" s="174"/>
      <c r="N143" s="174"/>
      <c r="O143" s="174"/>
      <c r="P143" s="174"/>
      <c r="Q143" s="174"/>
    </row>
    <row r="144" spans="1:17" ht="86.4" x14ac:dyDescent="0.3">
      <c r="A144" s="217" t="s">
        <v>192</v>
      </c>
      <c r="B144" s="198"/>
      <c r="C144" s="174"/>
      <c r="D144" s="217" t="s">
        <v>192</v>
      </c>
      <c r="E144" s="177" t="s">
        <v>294</v>
      </c>
      <c r="F144" s="174">
        <v>1</v>
      </c>
      <c r="G144" s="200">
        <v>1</v>
      </c>
      <c r="H144" s="174"/>
      <c r="I144" s="174">
        <v>1</v>
      </c>
      <c r="J144" s="174">
        <v>4</v>
      </c>
      <c r="K144" s="174">
        <v>4</v>
      </c>
      <c r="L144" s="174">
        <v>5</v>
      </c>
      <c r="M144" s="174"/>
      <c r="N144" s="174"/>
      <c r="O144" s="174"/>
      <c r="P144" s="174"/>
      <c r="Q144" s="174"/>
    </row>
    <row r="145" spans="1:17" ht="14.4" x14ac:dyDescent="0.3">
      <c r="A145" s="195"/>
      <c r="B145" s="198"/>
      <c r="C145" s="198"/>
      <c r="D145" s="177"/>
      <c r="E145" s="177" t="s">
        <v>288</v>
      </c>
      <c r="F145" s="174"/>
      <c r="G145" s="174"/>
      <c r="H145" s="174"/>
      <c r="I145" s="174"/>
      <c r="J145" s="174">
        <v>2</v>
      </c>
      <c r="K145" s="174">
        <v>2</v>
      </c>
      <c r="L145" s="174"/>
      <c r="M145" s="174"/>
      <c r="N145" s="174"/>
      <c r="O145" s="174"/>
      <c r="P145" s="174"/>
      <c r="Q145" s="174"/>
    </row>
    <row r="146" spans="1:17" ht="14.4" x14ac:dyDescent="0.3">
      <c r="A146" s="197"/>
      <c r="B146" s="198"/>
      <c r="C146" s="174"/>
      <c r="D146" s="174"/>
      <c r="E146" s="177" t="s">
        <v>289</v>
      </c>
      <c r="F146" s="174"/>
      <c r="G146" s="174"/>
      <c r="H146" s="174"/>
      <c r="I146" s="174"/>
      <c r="J146" s="174">
        <v>1</v>
      </c>
      <c r="K146" s="174">
        <v>1</v>
      </c>
      <c r="L146" s="174"/>
      <c r="M146" s="174"/>
      <c r="N146" s="174"/>
      <c r="O146" s="174"/>
      <c r="P146" s="174"/>
      <c r="Q146" s="174"/>
    </row>
    <row r="147" spans="1:17" ht="28.8" x14ac:dyDescent="0.3">
      <c r="A147" s="197"/>
      <c r="B147" s="198"/>
      <c r="C147" s="174"/>
      <c r="D147" s="174"/>
      <c r="E147" s="177" t="s">
        <v>290</v>
      </c>
      <c r="F147" s="174"/>
      <c r="G147" s="174"/>
      <c r="H147" s="174"/>
      <c r="I147" s="174"/>
      <c r="J147" s="174">
        <v>1</v>
      </c>
      <c r="K147" s="174">
        <v>1</v>
      </c>
      <c r="L147" s="174"/>
      <c r="M147" s="174"/>
      <c r="N147" s="174"/>
      <c r="O147" s="174"/>
      <c r="P147" s="174"/>
      <c r="Q147" s="174"/>
    </row>
    <row r="148" spans="1:17" ht="14.4" x14ac:dyDescent="0.3">
      <c r="A148" s="197"/>
      <c r="B148" s="198"/>
      <c r="C148" s="198"/>
      <c r="D148" s="174"/>
      <c r="E148" s="211"/>
      <c r="F148" s="174"/>
      <c r="G148" s="174"/>
      <c r="H148" s="174"/>
      <c r="I148" s="174"/>
      <c r="J148" s="174"/>
      <c r="K148" s="174"/>
      <c r="L148" s="174"/>
      <c r="M148" s="174"/>
      <c r="N148" s="174"/>
      <c r="O148" s="174"/>
      <c r="P148" s="174"/>
      <c r="Q148" s="174"/>
    </row>
    <row r="149" spans="1:17" ht="86.4" x14ac:dyDescent="0.3">
      <c r="A149" s="198" t="s">
        <v>295</v>
      </c>
      <c r="B149" s="198"/>
      <c r="C149" s="198"/>
      <c r="D149" s="198" t="s">
        <v>295</v>
      </c>
      <c r="E149" s="177" t="s">
        <v>296</v>
      </c>
      <c r="F149" s="174">
        <v>1</v>
      </c>
      <c r="G149" s="200">
        <v>1</v>
      </c>
      <c r="H149" s="174"/>
      <c r="I149" s="174">
        <v>1</v>
      </c>
      <c r="J149" s="174">
        <v>5</v>
      </c>
      <c r="K149" s="174">
        <v>5</v>
      </c>
      <c r="L149" s="174">
        <v>5</v>
      </c>
      <c r="M149" s="174"/>
      <c r="N149" s="174"/>
      <c r="O149" s="174"/>
      <c r="P149" s="174"/>
      <c r="Q149" s="174"/>
    </row>
    <row r="150" spans="1:17" ht="14.4" x14ac:dyDescent="0.3">
      <c r="A150" s="198"/>
      <c r="B150" s="198"/>
      <c r="C150" s="198"/>
      <c r="D150" s="198"/>
      <c r="E150" s="177" t="s">
        <v>297</v>
      </c>
      <c r="F150" s="173"/>
      <c r="G150" s="174"/>
      <c r="H150" s="174"/>
      <c r="I150" s="174"/>
      <c r="J150" s="174">
        <v>2</v>
      </c>
      <c r="K150" s="174">
        <v>2</v>
      </c>
      <c r="L150" s="174"/>
      <c r="M150" s="174"/>
      <c r="N150" s="174"/>
      <c r="O150" s="174"/>
      <c r="P150" s="174"/>
      <c r="Q150" s="174"/>
    </row>
    <row r="151" spans="1:17" ht="14.4" x14ac:dyDescent="0.3">
      <c r="A151" s="197"/>
      <c r="B151" s="198"/>
      <c r="C151" s="198"/>
      <c r="D151" s="198"/>
      <c r="E151" s="177" t="s">
        <v>298</v>
      </c>
      <c r="F151" s="173"/>
      <c r="G151" s="174"/>
      <c r="H151" s="174"/>
      <c r="I151" s="174"/>
      <c r="J151" s="174">
        <v>2</v>
      </c>
      <c r="K151" s="174">
        <v>2</v>
      </c>
      <c r="L151" s="174"/>
      <c r="M151" s="174"/>
      <c r="N151" s="174"/>
      <c r="O151" s="174"/>
      <c r="P151" s="174"/>
      <c r="Q151" s="174"/>
    </row>
    <row r="152" spans="1:17" ht="14.4" x14ac:dyDescent="0.3">
      <c r="A152" s="197"/>
      <c r="B152" s="198"/>
      <c r="C152" s="198"/>
      <c r="D152" s="198"/>
      <c r="E152" s="177" t="s">
        <v>289</v>
      </c>
      <c r="F152" s="173"/>
      <c r="G152" s="174"/>
      <c r="H152" s="174"/>
      <c r="I152" s="174"/>
      <c r="J152" s="174">
        <v>2</v>
      </c>
      <c r="K152" s="174">
        <v>2</v>
      </c>
      <c r="L152" s="174"/>
      <c r="M152" s="174"/>
      <c r="N152" s="174"/>
      <c r="O152" s="174"/>
      <c r="P152" s="174"/>
      <c r="Q152" s="174"/>
    </row>
    <row r="153" spans="1:17" ht="14.4" x14ac:dyDescent="0.3">
      <c r="A153" s="197"/>
      <c r="B153" s="198"/>
      <c r="C153" s="198"/>
      <c r="D153" s="198"/>
      <c r="E153" s="177"/>
      <c r="F153" s="173"/>
      <c r="G153" s="174"/>
      <c r="H153" s="174"/>
      <c r="I153" s="174"/>
      <c r="J153" s="174"/>
      <c r="K153" s="174"/>
      <c r="L153" s="174"/>
      <c r="M153" s="174"/>
      <c r="N153" s="174"/>
      <c r="O153" s="174"/>
      <c r="P153" s="174"/>
      <c r="Q153" s="174"/>
    </row>
    <row r="154" spans="1:17" ht="15.6" x14ac:dyDescent="0.3">
      <c r="A154" s="197" t="s">
        <v>299</v>
      </c>
      <c r="B154" s="198"/>
      <c r="C154" s="213" t="s">
        <v>234</v>
      </c>
      <c r="D154" s="195" t="s">
        <v>300</v>
      </c>
      <c r="E154" s="177" t="s">
        <v>301</v>
      </c>
      <c r="F154" s="174">
        <v>1</v>
      </c>
      <c r="G154" s="200">
        <v>1</v>
      </c>
      <c r="H154" s="174"/>
      <c r="I154" s="174">
        <v>1</v>
      </c>
      <c r="J154" s="174">
        <v>6</v>
      </c>
      <c r="K154" s="174">
        <v>6</v>
      </c>
      <c r="L154" s="174">
        <v>5</v>
      </c>
      <c r="M154" s="174"/>
      <c r="N154" s="174"/>
      <c r="O154" s="174"/>
      <c r="P154" s="174"/>
      <c r="Q154" s="174"/>
    </row>
    <row r="155" spans="1:17" ht="28.8" x14ac:dyDescent="0.3">
      <c r="A155" s="197"/>
      <c r="B155" s="198"/>
      <c r="C155" s="198"/>
      <c r="D155" s="198"/>
      <c r="E155" s="177" t="s">
        <v>302</v>
      </c>
      <c r="F155" s="174"/>
      <c r="G155" s="174"/>
      <c r="H155" s="174"/>
      <c r="I155" s="174"/>
      <c r="J155" s="174">
        <v>4</v>
      </c>
      <c r="K155" s="174">
        <v>4</v>
      </c>
      <c r="L155" s="174"/>
      <c r="M155" s="174"/>
      <c r="N155" s="174"/>
      <c r="O155" s="174"/>
      <c r="P155" s="174"/>
      <c r="Q155" s="174"/>
    </row>
    <row r="156" spans="1:17" ht="14.4" x14ac:dyDescent="0.3">
      <c r="A156" s="197"/>
      <c r="B156" s="198"/>
      <c r="C156" s="198"/>
      <c r="D156" s="198"/>
      <c r="E156" s="177" t="s">
        <v>303</v>
      </c>
      <c r="F156" s="174"/>
      <c r="G156" s="174"/>
      <c r="H156" s="174"/>
      <c r="I156" s="174"/>
      <c r="J156" s="174">
        <v>2</v>
      </c>
      <c r="K156" s="174">
        <v>2</v>
      </c>
      <c r="L156" s="174"/>
      <c r="M156" s="174"/>
      <c r="N156" s="174"/>
      <c r="O156" s="174"/>
      <c r="P156" s="174"/>
      <c r="Q156" s="174"/>
    </row>
    <row r="157" spans="1:17" ht="14.4" x14ac:dyDescent="0.3">
      <c r="A157" s="197"/>
      <c r="B157" s="198"/>
      <c r="C157" s="198"/>
      <c r="D157" s="198"/>
      <c r="E157" s="177" t="s">
        <v>304</v>
      </c>
      <c r="F157" s="174"/>
      <c r="G157" s="174"/>
      <c r="H157" s="174"/>
      <c r="I157" s="174"/>
      <c r="J157" s="174">
        <v>4</v>
      </c>
      <c r="K157" s="174">
        <v>4</v>
      </c>
      <c r="L157" s="174"/>
      <c r="M157" s="174"/>
      <c r="N157" s="174"/>
      <c r="O157" s="174"/>
      <c r="P157" s="174"/>
      <c r="Q157" s="174"/>
    </row>
    <row r="158" spans="1:17" ht="14.4" x14ac:dyDescent="0.3">
      <c r="A158" s="197"/>
      <c r="B158" s="198"/>
      <c r="C158" s="198"/>
      <c r="D158" s="177"/>
      <c r="E158" s="211"/>
      <c r="F158" s="174"/>
      <c r="G158" s="174"/>
      <c r="H158" s="174"/>
      <c r="I158" s="174"/>
      <c r="J158" s="174"/>
      <c r="K158" s="174"/>
      <c r="L158" s="174"/>
      <c r="M158" s="174"/>
      <c r="N158" s="174"/>
      <c r="O158" s="174"/>
      <c r="P158" s="174"/>
      <c r="Q158" s="174"/>
    </row>
    <row r="159" spans="1:17" ht="14.4" x14ac:dyDescent="0.3">
      <c r="A159" s="197">
        <f>COUNTA(A2:A158)</f>
        <v>37</v>
      </c>
      <c r="B159" s="198">
        <f>COUNTA(B2:B158)</f>
        <v>11</v>
      </c>
      <c r="C159" s="198">
        <f>COUNTA(C2:C158)</f>
        <v>24</v>
      </c>
      <c r="D159" s="198">
        <f t="shared" ref="D159:E159" si="0">COUNTA(D2:D158)</f>
        <v>90</v>
      </c>
      <c r="E159" s="198">
        <f t="shared" si="0"/>
        <v>68</v>
      </c>
      <c r="F159" s="174">
        <f t="shared" ref="F159:L159" si="1">SUM(F2:F158)</f>
        <v>40</v>
      </c>
      <c r="G159" s="174">
        <f t="shared" si="1"/>
        <v>40</v>
      </c>
      <c r="H159" s="174">
        <f t="shared" si="1"/>
        <v>0</v>
      </c>
      <c r="I159" s="174">
        <f t="shared" si="1"/>
        <v>40</v>
      </c>
      <c r="J159" s="174">
        <f t="shared" si="1"/>
        <v>368.5</v>
      </c>
      <c r="K159" s="174">
        <f t="shared" si="1"/>
        <v>369.5</v>
      </c>
      <c r="L159" s="174">
        <f t="shared" si="1"/>
        <v>112.5</v>
      </c>
      <c r="M159" s="174"/>
      <c r="N159" s="174"/>
      <c r="O159" s="174"/>
      <c r="P159" s="174"/>
      <c r="Q159" s="174"/>
    </row>
    <row r="162" spans="2:12" ht="14.4" x14ac:dyDescent="0.3">
      <c r="J162" s="193">
        <f>J159/8</f>
        <v>46.0625</v>
      </c>
      <c r="K162" s="193">
        <f>K159/8</f>
        <v>46.1875</v>
      </c>
      <c r="L162" s="193">
        <f>L159/8</f>
        <v>14.0625</v>
      </c>
    </row>
    <row r="163" spans="2:12" ht="14.4" x14ac:dyDescent="0.3">
      <c r="C163" s="220" t="s">
        <v>305</v>
      </c>
      <c r="D163" s="220" t="s">
        <v>306</v>
      </c>
    </row>
    <row r="164" spans="2:12" ht="14.4" x14ac:dyDescent="0.3">
      <c r="B164" s="221" t="s">
        <v>307</v>
      </c>
      <c r="C164" s="220">
        <f>SUM(J159:K159)</f>
        <v>738</v>
      </c>
      <c r="D164" s="220">
        <f>J162</f>
        <v>46.0625</v>
      </c>
      <c r="E164" s="222"/>
    </row>
    <row r="165" spans="2:12" ht="14.4" x14ac:dyDescent="0.3">
      <c r="B165" s="221" t="s">
        <v>308</v>
      </c>
      <c r="C165" s="220">
        <f>L162</f>
        <v>14.0625</v>
      </c>
      <c r="D165" s="220">
        <f>L162</f>
        <v>14.0625</v>
      </c>
    </row>
    <row r="166" spans="2:12" ht="14.4" x14ac:dyDescent="0.3">
      <c r="B166" s="221" t="s">
        <v>309</v>
      </c>
      <c r="C166" s="220">
        <v>64</v>
      </c>
      <c r="D166" s="220">
        <v>8</v>
      </c>
    </row>
    <row r="167" spans="2:12" ht="14.4" x14ac:dyDescent="0.3">
      <c r="B167" s="221" t="s">
        <v>310</v>
      </c>
      <c r="C167" s="220">
        <v>48</v>
      </c>
      <c r="D167" s="220">
        <v>6</v>
      </c>
    </row>
    <row r="168" spans="2:12" ht="14.4" x14ac:dyDescent="0.3">
      <c r="B168" s="221" t="s">
        <v>43</v>
      </c>
      <c r="C168" s="220">
        <v>128</v>
      </c>
      <c r="D168" s="220">
        <v>16</v>
      </c>
    </row>
    <row r="169" spans="2:12" ht="14.4" x14ac:dyDescent="0.3">
      <c r="B169" s="221" t="s">
        <v>311</v>
      </c>
      <c r="C169" s="220"/>
      <c r="D169" s="223"/>
    </row>
    <row r="170" spans="2:12" ht="14.4" x14ac:dyDescent="0.3">
      <c r="C170" s="220"/>
      <c r="D170" s="223"/>
    </row>
    <row r="171" spans="2:12" ht="14.4" x14ac:dyDescent="0.3">
      <c r="C171" s="220">
        <f>SUM(C164:C169)</f>
        <v>992.0625</v>
      </c>
      <c r="D171" s="220">
        <f>SUM(D164:D169)</f>
        <v>90.125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44E8-BC53-4E34-A551-42F22DE0457D}">
  <dimension ref="A1:Q44"/>
  <sheetViews>
    <sheetView topLeftCell="A26" workbookViewId="0">
      <selection activeCell="D36" sqref="D36:D40"/>
    </sheetView>
  </sheetViews>
  <sheetFormatPr defaultColWidth="8.88671875" defaultRowHeight="15" customHeight="1" x14ac:dyDescent="0.3"/>
  <cols>
    <col min="1" max="1" width="28.109375" style="224" customWidth="1"/>
    <col min="2" max="2" width="25.88671875" style="224" customWidth="1"/>
    <col min="3" max="3" width="25.33203125" style="224" customWidth="1"/>
    <col min="4" max="4" width="48.33203125" style="224" customWidth="1"/>
    <col min="5" max="5" width="34" style="224" customWidth="1"/>
    <col min="6" max="8" width="8.88671875" style="224"/>
    <col min="9" max="9" width="11.33203125" style="224" customWidth="1"/>
    <col min="10" max="12" width="8.88671875" style="224"/>
    <col min="13" max="13" width="14.44140625" style="224" customWidth="1"/>
    <col min="14" max="14" width="8.88671875" style="224"/>
    <col min="15" max="15" width="13.109375" style="224" customWidth="1"/>
    <col min="16" max="16384" width="8.88671875" style="224"/>
  </cols>
  <sheetData>
    <row r="1" spans="1:17" ht="14.4" x14ac:dyDescent="0.3">
      <c r="A1" s="287" t="s">
        <v>312</v>
      </c>
      <c r="B1" s="288" t="s">
        <v>1</v>
      </c>
      <c r="C1" s="289" t="s">
        <v>151</v>
      </c>
      <c r="D1" s="289" t="s">
        <v>3</v>
      </c>
      <c r="E1" s="289" t="s">
        <v>152</v>
      </c>
      <c r="F1" s="290" t="s">
        <v>81</v>
      </c>
      <c r="G1" s="291" t="s">
        <v>61</v>
      </c>
      <c r="H1" s="291" t="s">
        <v>82</v>
      </c>
      <c r="I1" s="291" t="s">
        <v>83</v>
      </c>
      <c r="J1" s="291" t="s">
        <v>313</v>
      </c>
      <c r="K1" s="291" t="s">
        <v>85</v>
      </c>
      <c r="L1" s="291" t="s">
        <v>86</v>
      </c>
      <c r="M1" s="291" t="s">
        <v>153</v>
      </c>
      <c r="N1" s="291" t="s">
        <v>88</v>
      </c>
      <c r="O1" s="291" t="s">
        <v>89</v>
      </c>
      <c r="P1" s="291" t="s">
        <v>90</v>
      </c>
      <c r="Q1" s="292" t="s">
        <v>91</v>
      </c>
    </row>
    <row r="2" spans="1:17" ht="14.4" x14ac:dyDescent="0.3">
      <c r="A2" s="293" t="s">
        <v>314</v>
      </c>
      <c r="B2" s="394" t="s">
        <v>315</v>
      </c>
      <c r="C2" s="294" t="s">
        <v>314</v>
      </c>
      <c r="D2" s="295" t="s">
        <v>316</v>
      </c>
      <c r="E2" s="295"/>
      <c r="F2" s="295">
        <v>1</v>
      </c>
      <c r="G2" s="295">
        <v>1</v>
      </c>
      <c r="H2" s="295"/>
      <c r="I2" s="295">
        <v>1</v>
      </c>
      <c r="J2" s="295">
        <v>1</v>
      </c>
      <c r="K2" s="295"/>
      <c r="L2" s="295"/>
      <c r="M2" s="295">
        <v>6</v>
      </c>
      <c r="N2" s="295"/>
      <c r="O2" s="295"/>
      <c r="P2" s="295"/>
      <c r="Q2" s="296"/>
    </row>
    <row r="3" spans="1:17" ht="96" customHeight="1" x14ac:dyDescent="0.3">
      <c r="A3" s="297"/>
      <c r="B3" s="395"/>
      <c r="C3" s="298"/>
      <c r="D3" s="303" t="s">
        <v>317</v>
      </c>
      <c r="E3" s="298"/>
      <c r="F3" s="298"/>
      <c r="G3" s="298"/>
      <c r="H3" s="298"/>
      <c r="I3" s="298"/>
      <c r="J3" s="298">
        <v>5</v>
      </c>
      <c r="K3" s="298"/>
      <c r="L3" s="298"/>
      <c r="M3" s="298"/>
      <c r="N3" s="298"/>
      <c r="O3" s="298"/>
      <c r="P3" s="298"/>
      <c r="Q3" s="299"/>
    </row>
    <row r="4" spans="1:17" ht="86.4" x14ac:dyDescent="0.3">
      <c r="A4" s="293" t="s">
        <v>318</v>
      </c>
      <c r="B4" s="395"/>
      <c r="C4" s="300" t="s">
        <v>318</v>
      </c>
      <c r="D4" s="286" t="s">
        <v>319</v>
      </c>
      <c r="E4" s="298"/>
      <c r="F4" s="298">
        <v>1</v>
      </c>
      <c r="G4" s="298">
        <v>1</v>
      </c>
      <c r="H4" s="298"/>
      <c r="I4" s="298">
        <v>1</v>
      </c>
      <c r="J4" s="298">
        <v>3</v>
      </c>
      <c r="K4" s="298"/>
      <c r="L4" s="298"/>
      <c r="M4" s="298">
        <v>6</v>
      </c>
      <c r="N4" s="298"/>
      <c r="O4" s="298"/>
      <c r="P4" s="298"/>
      <c r="Q4" s="299"/>
    </row>
    <row r="5" spans="1:17" ht="43.2" x14ac:dyDescent="0.3">
      <c r="A5" s="297"/>
      <c r="B5" s="395"/>
      <c r="C5" s="298"/>
      <c r="D5" s="286" t="s">
        <v>320</v>
      </c>
      <c r="E5" s="298"/>
      <c r="F5" s="298"/>
      <c r="G5" s="298"/>
      <c r="H5" s="298"/>
      <c r="I5" s="298"/>
      <c r="J5" s="298">
        <v>3</v>
      </c>
      <c r="K5" s="298"/>
      <c r="L5" s="298"/>
      <c r="M5" s="298"/>
      <c r="N5" s="298"/>
      <c r="O5" s="298"/>
      <c r="P5" s="298"/>
      <c r="Q5" s="299"/>
    </row>
    <row r="6" spans="1:17" ht="172.8" x14ac:dyDescent="0.3">
      <c r="A6" s="293" t="s">
        <v>318</v>
      </c>
      <c r="B6" s="395"/>
      <c r="C6" s="300" t="s">
        <v>321</v>
      </c>
      <c r="D6" s="286" t="s">
        <v>322</v>
      </c>
      <c r="E6" s="298"/>
      <c r="F6" s="298">
        <v>1</v>
      </c>
      <c r="G6" s="298">
        <v>1</v>
      </c>
      <c r="H6" s="298"/>
      <c r="I6" s="298">
        <v>1</v>
      </c>
      <c r="J6" s="298">
        <v>5</v>
      </c>
      <c r="K6" s="298"/>
      <c r="L6" s="298"/>
      <c r="M6" s="298">
        <v>5</v>
      </c>
      <c r="N6" s="298"/>
      <c r="O6" s="298"/>
      <c r="P6" s="298"/>
      <c r="Q6" s="299"/>
    </row>
    <row r="7" spans="1:17" ht="115.2" x14ac:dyDescent="0.3">
      <c r="A7" s="297"/>
      <c r="B7" s="395"/>
      <c r="C7" s="298"/>
      <c r="D7" s="286" t="s">
        <v>323</v>
      </c>
      <c r="E7" s="298"/>
      <c r="F7" s="298"/>
      <c r="G7" s="298"/>
      <c r="H7" s="298"/>
      <c r="I7" s="298"/>
      <c r="J7" s="298">
        <v>5</v>
      </c>
      <c r="K7" s="298"/>
      <c r="L7" s="298"/>
      <c r="M7" s="298"/>
      <c r="N7" s="298"/>
      <c r="O7" s="298"/>
      <c r="P7" s="298"/>
      <c r="Q7" s="299"/>
    </row>
    <row r="8" spans="1:17" ht="72" x14ac:dyDescent="0.3">
      <c r="A8" s="293" t="s">
        <v>14</v>
      </c>
      <c r="B8" s="395"/>
      <c r="C8" s="300" t="s">
        <v>324</v>
      </c>
      <c r="D8" s="300" t="s">
        <v>14</v>
      </c>
      <c r="E8" s="301" t="s">
        <v>325</v>
      </c>
      <c r="F8" s="298">
        <v>1</v>
      </c>
      <c r="G8" s="298">
        <v>1</v>
      </c>
      <c r="H8" s="298"/>
      <c r="I8" s="298">
        <v>1</v>
      </c>
      <c r="J8" s="298">
        <v>5</v>
      </c>
      <c r="K8" s="298"/>
      <c r="L8" s="298"/>
      <c r="M8" s="298">
        <v>6</v>
      </c>
      <c r="N8" s="298"/>
      <c r="O8" s="298"/>
      <c r="P8" s="298"/>
      <c r="Q8" s="299"/>
    </row>
    <row r="9" spans="1:17" ht="72" x14ac:dyDescent="0.3">
      <c r="A9" s="293" t="s">
        <v>326</v>
      </c>
      <c r="B9" s="395"/>
      <c r="C9" s="298"/>
      <c r="D9" s="300" t="s">
        <v>326</v>
      </c>
      <c r="E9" s="301" t="s">
        <v>327</v>
      </c>
      <c r="F9" s="298"/>
      <c r="G9" s="298"/>
      <c r="H9" s="298"/>
      <c r="I9" s="298"/>
      <c r="J9" s="298">
        <v>5</v>
      </c>
      <c r="K9" s="298"/>
      <c r="L9" s="298"/>
      <c r="M9" s="298"/>
      <c r="N9" s="298"/>
      <c r="O9" s="298"/>
      <c r="P9" s="298"/>
      <c r="Q9" s="299"/>
    </row>
    <row r="10" spans="1:17" ht="43.2" x14ac:dyDescent="0.3">
      <c r="A10" s="293" t="s">
        <v>328</v>
      </c>
      <c r="B10" s="395"/>
      <c r="C10" s="298"/>
      <c r="D10" s="300" t="s">
        <v>328</v>
      </c>
      <c r="E10" s="301" t="s">
        <v>329</v>
      </c>
      <c r="F10" s="298"/>
      <c r="G10" s="298"/>
      <c r="H10" s="298"/>
      <c r="I10" s="298"/>
      <c r="J10" s="298">
        <v>3</v>
      </c>
      <c r="K10" s="298"/>
      <c r="L10" s="298"/>
      <c r="M10" s="298"/>
      <c r="N10" s="298"/>
      <c r="O10" s="298"/>
      <c r="P10" s="298"/>
      <c r="Q10" s="299"/>
    </row>
    <row r="11" spans="1:17" ht="14.4" x14ac:dyDescent="0.3">
      <c r="A11" s="293" t="s">
        <v>330</v>
      </c>
      <c r="B11" s="395"/>
      <c r="C11" s="300" t="s">
        <v>331</v>
      </c>
      <c r="D11" s="300" t="s">
        <v>330</v>
      </c>
      <c r="E11" s="301" t="s">
        <v>332</v>
      </c>
      <c r="F11" s="298">
        <v>1</v>
      </c>
      <c r="G11" s="298">
        <v>1</v>
      </c>
      <c r="H11" s="298"/>
      <c r="I11" s="298">
        <v>1</v>
      </c>
      <c r="J11" s="298">
        <v>3</v>
      </c>
      <c r="K11" s="298"/>
      <c r="L11" s="298"/>
      <c r="M11" s="298">
        <v>5</v>
      </c>
      <c r="N11" s="298"/>
      <c r="O11" s="298"/>
      <c r="P11" s="298"/>
      <c r="Q11" s="299"/>
    </row>
    <row r="12" spans="1:17" ht="43.2" x14ac:dyDescent="0.3">
      <c r="A12" s="293" t="s">
        <v>333</v>
      </c>
      <c r="B12" s="395"/>
      <c r="C12" s="298"/>
      <c r="D12" s="300" t="s">
        <v>333</v>
      </c>
      <c r="E12" s="302" t="s">
        <v>334</v>
      </c>
      <c r="F12" s="298"/>
      <c r="G12" s="298"/>
      <c r="H12" s="298"/>
      <c r="I12" s="298"/>
      <c r="J12" s="298">
        <v>3</v>
      </c>
      <c r="K12" s="298"/>
      <c r="L12" s="298"/>
      <c r="M12" s="298"/>
      <c r="N12" s="298"/>
      <c r="O12" s="298"/>
      <c r="P12" s="298"/>
      <c r="Q12" s="299"/>
    </row>
    <row r="13" spans="1:17" ht="14.4" x14ac:dyDescent="0.3">
      <c r="A13" s="293" t="s">
        <v>335</v>
      </c>
      <c r="B13" s="395"/>
      <c r="C13" s="300" t="s">
        <v>335</v>
      </c>
      <c r="D13" s="300" t="s">
        <v>336</v>
      </c>
      <c r="E13" s="300" t="s">
        <v>337</v>
      </c>
      <c r="F13" s="298">
        <v>1</v>
      </c>
      <c r="G13" s="298">
        <v>1</v>
      </c>
      <c r="H13" s="298"/>
      <c r="I13" s="298">
        <v>1</v>
      </c>
      <c r="J13" s="298">
        <v>5</v>
      </c>
      <c r="K13" s="298"/>
      <c r="L13" s="298"/>
      <c r="M13" s="298"/>
      <c r="N13" s="298"/>
      <c r="O13" s="298"/>
      <c r="P13" s="298"/>
      <c r="Q13" s="299"/>
    </row>
    <row r="14" spans="1:17" ht="14.4" x14ac:dyDescent="0.3">
      <c r="A14" s="279"/>
      <c r="B14" s="282"/>
      <c r="C14" s="221"/>
      <c r="D14" s="221"/>
      <c r="E14" s="221"/>
      <c r="F14" s="221"/>
      <c r="G14" s="221"/>
      <c r="H14" s="221"/>
      <c r="I14" s="221"/>
      <c r="J14" s="221"/>
      <c r="K14" s="221"/>
      <c r="L14" s="221"/>
      <c r="M14" s="221"/>
      <c r="N14" s="221"/>
      <c r="O14" s="221"/>
      <c r="P14" s="221"/>
      <c r="Q14" s="225"/>
    </row>
    <row r="15" spans="1:17" ht="90" customHeight="1" x14ac:dyDescent="0.3">
      <c r="A15" s="278" t="s">
        <v>338</v>
      </c>
      <c r="B15" s="283" t="s">
        <v>339</v>
      </c>
      <c r="C15" s="229" t="s">
        <v>340</v>
      </c>
      <c r="D15" s="226" t="s">
        <v>338</v>
      </c>
      <c r="E15" s="227" t="s">
        <v>341</v>
      </c>
      <c r="F15" s="221">
        <v>1</v>
      </c>
      <c r="G15" s="221">
        <v>1</v>
      </c>
      <c r="H15" s="221"/>
      <c r="I15" s="221">
        <v>1</v>
      </c>
      <c r="J15" s="221">
        <v>5</v>
      </c>
      <c r="K15" s="221"/>
      <c r="L15" s="221"/>
      <c r="M15" s="221">
        <v>6</v>
      </c>
      <c r="N15" s="221"/>
      <c r="O15" s="221"/>
      <c r="P15" s="221"/>
      <c r="Q15" s="225"/>
    </row>
    <row r="16" spans="1:17" ht="43.2" x14ac:dyDescent="0.3">
      <c r="A16" s="278" t="s">
        <v>342</v>
      </c>
      <c r="B16" s="281"/>
      <c r="C16" s="229"/>
      <c r="D16" s="226" t="s">
        <v>342</v>
      </c>
      <c r="E16" s="227" t="s">
        <v>343</v>
      </c>
      <c r="F16" s="221"/>
      <c r="G16" s="221"/>
      <c r="H16" s="221"/>
      <c r="I16" s="221"/>
      <c r="J16" s="221">
        <v>3</v>
      </c>
      <c r="K16" s="221"/>
      <c r="L16" s="221"/>
      <c r="M16" s="221"/>
      <c r="N16" s="221"/>
      <c r="O16" s="221"/>
      <c r="P16" s="221"/>
      <c r="Q16" s="225"/>
    </row>
    <row r="17" spans="1:17" ht="59.25" customHeight="1" x14ac:dyDescent="0.3">
      <c r="A17" s="278" t="s">
        <v>344</v>
      </c>
      <c r="B17" s="281"/>
      <c r="C17" s="229"/>
      <c r="D17" s="226" t="s">
        <v>344</v>
      </c>
      <c r="E17" s="230" t="s">
        <v>345</v>
      </c>
      <c r="F17" s="221"/>
      <c r="G17" s="221"/>
      <c r="H17" s="221"/>
      <c r="I17" s="221"/>
      <c r="J17" s="221">
        <v>3</v>
      </c>
      <c r="K17" s="221"/>
      <c r="L17" s="221"/>
      <c r="M17" s="221"/>
      <c r="N17" s="221"/>
      <c r="O17" s="221"/>
      <c r="P17" s="221"/>
      <c r="Q17" s="225"/>
    </row>
    <row r="18" spans="1:17" ht="48.75" customHeight="1" x14ac:dyDescent="0.3">
      <c r="A18" s="278" t="s">
        <v>346</v>
      </c>
      <c r="B18" s="281"/>
      <c r="C18" s="229"/>
      <c r="D18" s="226" t="s">
        <v>346</v>
      </c>
      <c r="E18" s="227" t="s">
        <v>347</v>
      </c>
      <c r="F18" s="221"/>
      <c r="G18" s="221"/>
      <c r="H18" s="221"/>
      <c r="I18" s="221"/>
      <c r="J18" s="221">
        <v>3</v>
      </c>
      <c r="K18" s="221"/>
      <c r="L18" s="221"/>
      <c r="M18" s="221"/>
      <c r="N18" s="221"/>
      <c r="O18" s="221"/>
      <c r="P18" s="221"/>
      <c r="Q18" s="225"/>
    </row>
    <row r="19" spans="1:17" ht="43.2" x14ac:dyDescent="0.3">
      <c r="A19" s="278" t="s">
        <v>338</v>
      </c>
      <c r="B19" s="281"/>
      <c r="C19" s="229" t="s">
        <v>348</v>
      </c>
      <c r="D19" s="226" t="s">
        <v>338</v>
      </c>
      <c r="E19" s="227" t="s">
        <v>349</v>
      </c>
      <c r="F19" s="221">
        <v>1</v>
      </c>
      <c r="G19" s="221">
        <v>1</v>
      </c>
      <c r="H19" s="221"/>
      <c r="I19" s="221">
        <v>1</v>
      </c>
      <c r="J19" s="221">
        <v>3</v>
      </c>
      <c r="K19" s="221"/>
      <c r="L19" s="221"/>
      <c r="M19" s="221">
        <v>6</v>
      </c>
      <c r="N19" s="221"/>
      <c r="O19" s="221"/>
      <c r="P19" s="221"/>
      <c r="Q19" s="225"/>
    </row>
    <row r="20" spans="1:17" ht="43.2" x14ac:dyDescent="0.3">
      <c r="A20" s="278" t="s">
        <v>350</v>
      </c>
      <c r="B20" s="281"/>
      <c r="C20" s="229"/>
      <c r="D20" s="226" t="s">
        <v>350</v>
      </c>
      <c r="E20" s="227" t="s">
        <v>351</v>
      </c>
      <c r="F20" s="221"/>
      <c r="G20" s="221"/>
      <c r="H20" s="221"/>
      <c r="I20" s="221"/>
      <c r="J20" s="221">
        <v>5</v>
      </c>
      <c r="K20" s="221"/>
      <c r="L20" s="221"/>
      <c r="M20" s="221"/>
      <c r="N20" s="221"/>
      <c r="O20" s="221"/>
      <c r="P20" s="221"/>
      <c r="Q20" s="225"/>
    </row>
    <row r="21" spans="1:17" ht="28.8" x14ac:dyDescent="0.3">
      <c r="A21" s="278" t="s">
        <v>352</v>
      </c>
      <c r="B21" s="281"/>
      <c r="C21" s="229"/>
      <c r="D21" s="226" t="s">
        <v>352</v>
      </c>
      <c r="E21" s="227" t="s">
        <v>353</v>
      </c>
      <c r="F21" s="221"/>
      <c r="G21" s="221"/>
      <c r="H21" s="221"/>
      <c r="I21" s="221"/>
      <c r="J21" s="221">
        <v>2</v>
      </c>
      <c r="K21" s="221"/>
      <c r="L21" s="221"/>
      <c r="M21" s="221"/>
      <c r="N21" s="221"/>
      <c r="O21" s="221"/>
      <c r="P21" s="221"/>
      <c r="Q21" s="225"/>
    </row>
    <row r="22" spans="1:17" ht="32.25" customHeight="1" x14ac:dyDescent="0.3">
      <c r="A22" s="278" t="s">
        <v>354</v>
      </c>
      <c r="B22" s="281"/>
      <c r="C22" s="229"/>
      <c r="D22" s="226" t="s">
        <v>354</v>
      </c>
      <c r="E22" s="227" t="s">
        <v>355</v>
      </c>
      <c r="F22" s="221"/>
      <c r="G22" s="221"/>
      <c r="H22" s="221"/>
      <c r="I22" s="221"/>
      <c r="J22" s="221">
        <v>3</v>
      </c>
      <c r="K22" s="221"/>
      <c r="L22" s="221"/>
      <c r="M22" s="221"/>
      <c r="N22" s="221"/>
      <c r="O22" s="221"/>
      <c r="P22" s="221"/>
      <c r="Q22" s="225"/>
    </row>
    <row r="23" spans="1:17" ht="36.75" customHeight="1" x14ac:dyDescent="0.3">
      <c r="A23" s="280" t="s">
        <v>356</v>
      </c>
      <c r="B23" s="281"/>
      <c r="C23" s="229" t="s">
        <v>356</v>
      </c>
      <c r="D23" s="226" t="s">
        <v>338</v>
      </c>
      <c r="E23" s="227" t="s">
        <v>357</v>
      </c>
      <c r="F23" s="221">
        <v>1</v>
      </c>
      <c r="G23" s="221">
        <v>1</v>
      </c>
      <c r="H23" s="221"/>
      <c r="I23" s="221">
        <v>1</v>
      </c>
      <c r="J23" s="221">
        <v>3</v>
      </c>
      <c r="K23" s="221"/>
      <c r="L23" s="221"/>
      <c r="M23" s="221">
        <v>6</v>
      </c>
      <c r="N23" s="221"/>
      <c r="O23" s="221"/>
      <c r="P23" s="221"/>
      <c r="Q23" s="225"/>
    </row>
    <row r="24" spans="1:17" ht="27" customHeight="1" x14ac:dyDescent="0.3">
      <c r="A24" s="278" t="s">
        <v>346</v>
      </c>
      <c r="B24" s="281"/>
      <c r="C24" s="226"/>
      <c r="D24" s="226" t="s">
        <v>346</v>
      </c>
      <c r="E24" s="227" t="s">
        <v>347</v>
      </c>
      <c r="F24" s="221"/>
      <c r="G24" s="221"/>
      <c r="H24" s="221"/>
      <c r="I24" s="221"/>
      <c r="J24" s="221">
        <v>3</v>
      </c>
      <c r="K24" s="221"/>
      <c r="L24" s="221"/>
      <c r="M24" s="221"/>
      <c r="N24" s="221"/>
      <c r="O24" s="221"/>
      <c r="P24" s="221"/>
      <c r="Q24" s="225"/>
    </row>
    <row r="25" spans="1:17" ht="27.75" customHeight="1" x14ac:dyDescent="0.3">
      <c r="A25" s="280" t="s">
        <v>358</v>
      </c>
      <c r="B25" s="281"/>
      <c r="C25" s="229" t="s">
        <v>358</v>
      </c>
      <c r="D25" s="227" t="s">
        <v>359</v>
      </c>
      <c r="E25" s="221"/>
      <c r="F25" s="221">
        <v>1</v>
      </c>
      <c r="G25" s="221">
        <v>1</v>
      </c>
      <c r="H25" s="221"/>
      <c r="I25" s="221">
        <v>1</v>
      </c>
      <c r="J25" s="221">
        <v>3</v>
      </c>
      <c r="K25" s="221"/>
      <c r="L25" s="221"/>
      <c r="M25" s="221"/>
      <c r="N25" s="221"/>
      <c r="O25" s="221"/>
      <c r="P25" s="221"/>
      <c r="Q25" s="225"/>
    </row>
    <row r="26" spans="1:17" ht="58.2" customHeight="1" x14ac:dyDescent="0.3">
      <c r="A26" s="280" t="s">
        <v>360</v>
      </c>
      <c r="B26" s="281"/>
      <c r="C26" s="229" t="s">
        <v>360</v>
      </c>
      <c r="D26" s="227" t="s">
        <v>361</v>
      </c>
      <c r="E26" s="221"/>
      <c r="F26" s="221">
        <v>1</v>
      </c>
      <c r="G26" s="221">
        <v>1</v>
      </c>
      <c r="H26" s="221"/>
      <c r="I26" s="221">
        <v>1</v>
      </c>
      <c r="J26" s="221">
        <v>3</v>
      </c>
      <c r="K26" s="221"/>
      <c r="L26" s="221"/>
      <c r="M26" s="221">
        <v>4</v>
      </c>
      <c r="N26" s="221"/>
      <c r="O26" s="221"/>
      <c r="P26" s="221"/>
      <c r="Q26" s="225"/>
    </row>
    <row r="27" spans="1:17" ht="30" customHeight="1" x14ac:dyDescent="0.3">
      <c r="A27" s="280" t="s">
        <v>362</v>
      </c>
      <c r="B27" s="281"/>
      <c r="C27" s="229" t="s">
        <v>362</v>
      </c>
      <c r="D27" s="227" t="s">
        <v>363</v>
      </c>
      <c r="E27" s="226"/>
      <c r="F27" s="221">
        <v>1</v>
      </c>
      <c r="G27" s="221">
        <v>1</v>
      </c>
      <c r="H27" s="221"/>
      <c r="I27" s="221">
        <v>1</v>
      </c>
      <c r="J27" s="221">
        <v>3</v>
      </c>
      <c r="K27" s="221"/>
      <c r="L27" s="221"/>
      <c r="M27" s="221">
        <v>4</v>
      </c>
      <c r="N27" s="221"/>
      <c r="O27" s="221"/>
      <c r="P27" s="221"/>
      <c r="Q27" s="225"/>
    </row>
    <row r="28" spans="1:17" ht="48" customHeight="1" x14ac:dyDescent="0.3">
      <c r="A28" s="280" t="s">
        <v>205</v>
      </c>
      <c r="B28" s="281"/>
      <c r="C28" s="229" t="s">
        <v>205</v>
      </c>
      <c r="D28" s="226" t="s">
        <v>364</v>
      </c>
      <c r="E28" s="227" t="s">
        <v>365</v>
      </c>
      <c r="F28" s="221">
        <v>1</v>
      </c>
      <c r="G28" s="221">
        <v>1</v>
      </c>
      <c r="H28" s="221"/>
      <c r="I28" s="221">
        <v>1</v>
      </c>
      <c r="J28" s="221">
        <v>3</v>
      </c>
      <c r="K28" s="221"/>
      <c r="L28" s="221"/>
      <c r="M28" s="221">
        <v>6</v>
      </c>
      <c r="N28" s="221"/>
      <c r="O28" s="221"/>
      <c r="P28" s="221"/>
      <c r="Q28" s="225"/>
    </row>
    <row r="29" spans="1:17" ht="25.5" customHeight="1" x14ac:dyDescent="0.3">
      <c r="A29" s="279"/>
      <c r="B29" s="281"/>
      <c r="C29" s="226"/>
      <c r="D29" s="226" t="s">
        <v>366</v>
      </c>
      <c r="E29" s="227" t="s">
        <v>367</v>
      </c>
      <c r="F29" s="221"/>
      <c r="G29" s="221"/>
      <c r="H29" s="221"/>
      <c r="I29" s="221">
        <v>1</v>
      </c>
      <c r="J29" s="221">
        <v>3</v>
      </c>
      <c r="K29" s="221"/>
      <c r="L29" s="221"/>
      <c r="M29" s="221"/>
      <c r="N29" s="221"/>
      <c r="O29" s="221"/>
      <c r="P29" s="221"/>
      <c r="Q29" s="225"/>
    </row>
    <row r="30" spans="1:17" ht="14.4" x14ac:dyDescent="0.3">
      <c r="A30" s="279"/>
      <c r="B30" s="282"/>
      <c r="C30" s="221"/>
      <c r="D30" s="221"/>
      <c r="E30" s="221"/>
      <c r="F30" s="221"/>
      <c r="G30" s="221"/>
      <c r="H30" s="221"/>
      <c r="I30" s="221"/>
      <c r="J30" s="221"/>
      <c r="K30" s="221"/>
      <c r="L30" s="221"/>
      <c r="M30" s="221"/>
      <c r="N30" s="221"/>
      <c r="O30" s="221"/>
      <c r="P30" s="221"/>
      <c r="Q30" s="225"/>
    </row>
    <row r="31" spans="1:17" ht="14.4" x14ac:dyDescent="0.3">
      <c r="A31" s="279"/>
      <c r="B31" s="282"/>
      <c r="C31" s="221" t="s">
        <v>368</v>
      </c>
      <c r="D31" s="221"/>
      <c r="E31" s="221"/>
      <c r="F31" s="221"/>
      <c r="G31" s="221"/>
      <c r="H31" s="221"/>
      <c r="I31" s="221">
        <v>1</v>
      </c>
      <c r="J31" s="221">
        <v>2</v>
      </c>
      <c r="K31" s="221"/>
      <c r="L31" s="221"/>
      <c r="M31" s="221">
        <v>4</v>
      </c>
      <c r="N31" s="221"/>
      <c r="O31" s="221"/>
      <c r="P31" s="221"/>
      <c r="Q31" s="225"/>
    </row>
    <row r="32" spans="1:17" ht="14.4" x14ac:dyDescent="0.3">
      <c r="A32" s="279"/>
      <c r="B32" s="282"/>
      <c r="C32" s="221"/>
      <c r="D32" s="221"/>
      <c r="E32" s="221"/>
      <c r="F32" s="221"/>
      <c r="G32" s="221"/>
      <c r="H32" s="221"/>
      <c r="I32" s="221"/>
      <c r="J32" s="221"/>
      <c r="K32" s="221"/>
      <c r="L32" s="221"/>
      <c r="M32" s="221"/>
      <c r="N32" s="221"/>
      <c r="O32" s="221"/>
      <c r="P32" s="221"/>
      <c r="Q32" s="225"/>
    </row>
    <row r="33" spans="1:17" ht="14.4" x14ac:dyDescent="0.3">
      <c r="A33" s="279"/>
      <c r="B33" s="284"/>
      <c r="C33" s="231" t="s">
        <v>369</v>
      </c>
      <c r="D33" s="231"/>
      <c r="E33" s="231"/>
      <c r="F33" s="231"/>
      <c r="G33" s="231"/>
      <c r="H33" s="231"/>
      <c r="I33" s="231">
        <v>1</v>
      </c>
      <c r="J33" s="231">
        <v>5</v>
      </c>
      <c r="K33" s="231"/>
      <c r="L33" s="231"/>
      <c r="M33" s="231"/>
      <c r="N33" s="231"/>
      <c r="O33" s="231"/>
      <c r="P33" s="231"/>
      <c r="Q33" s="232"/>
    </row>
    <row r="34" spans="1:17" ht="14.4" x14ac:dyDescent="0.3">
      <c r="A34" s="277">
        <f>COUNTA(A2:A33)</f>
        <v>23</v>
      </c>
      <c r="B34" s="285">
        <f>COUNTA(B2:B33)</f>
        <v>2</v>
      </c>
      <c r="C34" s="234">
        <f t="shared" ref="C34:E34" si="0">COUNTA(C2:C33)</f>
        <v>15</v>
      </c>
      <c r="D34" s="234">
        <f t="shared" si="0"/>
        <v>27</v>
      </c>
      <c r="E34" s="234">
        <f t="shared" si="0"/>
        <v>18</v>
      </c>
      <c r="F34" s="235">
        <f>SUM(F2:F33)</f>
        <v>13</v>
      </c>
      <c r="G34" s="235">
        <f t="shared" ref="G34:Q34" si="1">SUM(G2:G33)</f>
        <v>13</v>
      </c>
      <c r="H34" s="235">
        <f t="shared" si="1"/>
        <v>0</v>
      </c>
      <c r="I34" s="235">
        <f t="shared" si="1"/>
        <v>16</v>
      </c>
      <c r="J34" s="235">
        <f t="shared" si="1"/>
        <v>101</v>
      </c>
      <c r="K34" s="235">
        <f t="shared" si="1"/>
        <v>0</v>
      </c>
      <c r="L34" s="235">
        <f t="shared" si="1"/>
        <v>0</v>
      </c>
      <c r="M34" s="235">
        <f t="shared" si="1"/>
        <v>64</v>
      </c>
      <c r="N34" s="235">
        <f t="shared" si="1"/>
        <v>0</v>
      </c>
      <c r="O34" s="235">
        <f t="shared" si="1"/>
        <v>0</v>
      </c>
      <c r="P34" s="235">
        <f t="shared" si="1"/>
        <v>0</v>
      </c>
      <c r="Q34" s="236">
        <f t="shared" si="1"/>
        <v>0</v>
      </c>
    </row>
    <row r="35" spans="1:17" ht="14.4" x14ac:dyDescent="0.3">
      <c r="B35" s="205"/>
      <c r="C35" s="205"/>
      <c r="D35" s="237" t="s">
        <v>306</v>
      </c>
      <c r="E35" s="237"/>
      <c r="F35" s="237"/>
      <c r="G35" s="237"/>
      <c r="H35" s="237"/>
      <c r="I35" s="237"/>
      <c r="J35" s="237"/>
      <c r="K35" s="237"/>
      <c r="L35" s="237"/>
      <c r="M35" s="237"/>
      <c r="N35" s="237"/>
      <c r="O35" s="237"/>
      <c r="P35" s="237"/>
      <c r="Q35" s="238"/>
    </row>
    <row r="36" spans="1:17" ht="14.4" x14ac:dyDescent="0.3">
      <c r="B36" s="239" t="s">
        <v>307</v>
      </c>
      <c r="C36" s="143">
        <v>808</v>
      </c>
      <c r="D36" s="143">
        <v>101</v>
      </c>
      <c r="E36" s="143"/>
      <c r="F36" s="143"/>
      <c r="G36" s="143"/>
      <c r="H36" s="143"/>
      <c r="I36" s="143"/>
      <c r="J36" s="143"/>
      <c r="K36" s="143"/>
      <c r="L36" s="143"/>
      <c r="M36" s="143"/>
      <c r="N36" s="143"/>
      <c r="O36" s="143"/>
      <c r="P36" s="143"/>
      <c r="Q36" s="240"/>
    </row>
    <row r="37" spans="1:17" ht="14.4" x14ac:dyDescent="0.3">
      <c r="B37" s="228" t="s">
        <v>308</v>
      </c>
      <c r="C37" s="221">
        <v>256</v>
      </c>
      <c r="D37" s="221">
        <v>32</v>
      </c>
      <c r="E37" s="221"/>
      <c r="F37" s="221"/>
      <c r="G37" s="221"/>
      <c r="H37" s="221"/>
      <c r="I37" s="221"/>
      <c r="J37" s="221"/>
      <c r="K37" s="221"/>
      <c r="L37" s="221"/>
      <c r="M37" s="221"/>
      <c r="N37" s="221"/>
      <c r="O37" s="221"/>
      <c r="P37" s="221"/>
      <c r="Q37" s="225"/>
    </row>
    <row r="38" spans="1:17" ht="14.4" x14ac:dyDescent="0.3">
      <c r="B38" s="228" t="s">
        <v>309</v>
      </c>
      <c r="C38" s="221">
        <v>40</v>
      </c>
      <c r="D38" s="221">
        <v>5</v>
      </c>
      <c r="E38" s="221"/>
      <c r="F38" s="221"/>
      <c r="G38" s="221"/>
      <c r="H38" s="221"/>
      <c r="I38" s="221"/>
      <c r="J38" s="221"/>
      <c r="K38" s="221"/>
      <c r="L38" s="221"/>
      <c r="M38" s="221"/>
      <c r="N38" s="221"/>
      <c r="O38" s="221"/>
      <c r="P38" s="221"/>
      <c r="Q38" s="225"/>
    </row>
    <row r="39" spans="1:17" ht="14.4" x14ac:dyDescent="0.3">
      <c r="B39" s="228" t="s">
        <v>310</v>
      </c>
      <c r="C39" s="221">
        <v>40</v>
      </c>
      <c r="D39" s="221">
        <v>5</v>
      </c>
      <c r="E39" s="221"/>
      <c r="F39" s="221"/>
      <c r="G39" s="221"/>
      <c r="H39" s="221"/>
      <c r="I39" s="221"/>
      <c r="J39" s="221"/>
      <c r="K39" s="221"/>
      <c r="L39" s="221"/>
      <c r="M39" s="221"/>
      <c r="N39" s="221"/>
      <c r="O39" s="221"/>
      <c r="P39" s="221"/>
      <c r="Q39" s="225"/>
    </row>
    <row r="40" spans="1:17" ht="14.4" x14ac:dyDescent="0.3">
      <c r="B40" s="228" t="s">
        <v>43</v>
      </c>
      <c r="C40" s="221">
        <v>64</v>
      </c>
      <c r="D40" s="221">
        <v>8</v>
      </c>
      <c r="E40" s="221"/>
      <c r="F40" s="221"/>
      <c r="G40" s="221"/>
      <c r="H40" s="221"/>
      <c r="I40" s="221"/>
      <c r="J40" s="221"/>
      <c r="K40" s="221"/>
      <c r="L40" s="221"/>
      <c r="M40" s="221"/>
      <c r="N40" s="221"/>
      <c r="O40" s="221"/>
      <c r="P40" s="221"/>
      <c r="Q40" s="225"/>
    </row>
    <row r="41" spans="1:17" ht="14.4" x14ac:dyDescent="0.3">
      <c r="B41" s="228" t="s">
        <v>311</v>
      </c>
      <c r="C41" s="221"/>
      <c r="D41" s="221"/>
      <c r="E41" s="221"/>
      <c r="F41" s="221"/>
      <c r="G41" s="221"/>
      <c r="H41" s="221"/>
      <c r="I41" s="221"/>
      <c r="J41" s="221"/>
      <c r="K41" s="221"/>
      <c r="L41" s="221"/>
      <c r="M41" s="221"/>
      <c r="N41" s="221"/>
      <c r="O41" s="221"/>
      <c r="P41" s="221"/>
      <c r="Q41" s="225"/>
    </row>
    <row r="42" spans="1:17" ht="14.4" x14ac:dyDescent="0.3">
      <c r="B42" s="228"/>
      <c r="C42" s="221"/>
      <c r="D42" s="221"/>
      <c r="E42" s="221"/>
      <c r="F42" s="221"/>
      <c r="G42" s="221"/>
      <c r="H42" s="221"/>
      <c r="I42" s="221"/>
      <c r="J42" s="221"/>
      <c r="K42" s="221"/>
      <c r="L42" s="221"/>
      <c r="M42" s="221"/>
      <c r="N42" s="221"/>
      <c r="O42" s="221"/>
      <c r="P42" s="221"/>
      <c r="Q42" s="225"/>
    </row>
    <row r="43" spans="1:17" ht="14.4" x14ac:dyDescent="0.3">
      <c r="B43" s="228"/>
      <c r="C43" s="221">
        <v>1208</v>
      </c>
      <c r="D43" s="221"/>
      <c r="E43" s="221"/>
      <c r="F43" s="221"/>
      <c r="G43" s="221"/>
      <c r="H43" s="221"/>
      <c r="I43" s="221"/>
      <c r="J43" s="221"/>
      <c r="K43" s="221"/>
      <c r="L43" s="221"/>
      <c r="M43" s="221"/>
      <c r="N43" s="221"/>
      <c r="O43" s="221"/>
      <c r="P43" s="221"/>
      <c r="Q43" s="225"/>
    </row>
    <row r="44" spans="1:17" ht="14.4" x14ac:dyDescent="0.3">
      <c r="B44" s="241"/>
      <c r="C44" s="242"/>
      <c r="D44" s="242"/>
      <c r="E44" s="242"/>
      <c r="F44" s="242"/>
      <c r="G44" s="242"/>
      <c r="H44" s="242"/>
      <c r="I44" s="242"/>
      <c r="J44" s="242"/>
      <c r="K44" s="242"/>
      <c r="L44" s="242"/>
      <c r="M44" s="242"/>
      <c r="N44" s="242"/>
      <c r="O44" s="242"/>
      <c r="P44" s="242"/>
      <c r="Q44" s="243"/>
    </row>
  </sheetData>
  <mergeCells count="1">
    <mergeCell ref="B2:B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1E11-44D6-4454-9952-50E8402D7B9B}">
  <dimension ref="A1:O74"/>
  <sheetViews>
    <sheetView topLeftCell="D60" workbookViewId="0">
      <selection activeCell="D70" sqref="D70"/>
    </sheetView>
  </sheetViews>
  <sheetFormatPr defaultRowHeight="14.4" x14ac:dyDescent="0.3"/>
  <cols>
    <col min="1" max="1" width="13.6640625" style="166" bestFit="1" customWidth="1"/>
    <col min="2" max="2" width="17.5546875" customWidth="1"/>
    <col min="3" max="3" width="26.5546875" style="166" customWidth="1"/>
    <col min="4" max="4" width="27.5546875" style="55" customWidth="1"/>
    <col min="5" max="5" width="33.5546875" style="166" customWidth="1"/>
    <col min="6" max="6" width="6.5546875" customWidth="1"/>
    <col min="7" max="8" width="9.109375" customWidth="1"/>
    <col min="9" max="9" width="13" customWidth="1"/>
    <col min="10" max="10" width="12.109375" customWidth="1"/>
    <col min="11" max="11" width="10.44140625" customWidth="1"/>
  </cols>
  <sheetData>
    <row r="1" spans="1:15" x14ac:dyDescent="0.3">
      <c r="A1" s="168" t="s">
        <v>150</v>
      </c>
      <c r="B1" s="167" t="s">
        <v>1</v>
      </c>
      <c r="C1" s="168" t="s">
        <v>151</v>
      </c>
      <c r="D1" s="244" t="s">
        <v>3</v>
      </c>
      <c r="E1" s="245" t="s">
        <v>152</v>
      </c>
      <c r="F1" s="169" t="s">
        <v>81</v>
      </c>
      <c r="G1" s="169" t="s">
        <v>61</v>
      </c>
      <c r="H1" s="169" t="s">
        <v>82</v>
      </c>
      <c r="I1" s="169" t="s">
        <v>83</v>
      </c>
      <c r="J1" s="169" t="s">
        <v>370</v>
      </c>
      <c r="K1" s="169" t="s">
        <v>371</v>
      </c>
      <c r="L1" s="169" t="s">
        <v>88</v>
      </c>
      <c r="M1" s="169" t="s">
        <v>89</v>
      </c>
      <c r="N1" s="169" t="s">
        <v>90</v>
      </c>
      <c r="O1" s="169" t="s">
        <v>91</v>
      </c>
    </row>
    <row r="2" spans="1:15" x14ac:dyDescent="0.3">
      <c r="A2" s="247"/>
      <c r="B2" s="246" t="s">
        <v>372</v>
      </c>
      <c r="C2" s="247"/>
      <c r="D2" s="176"/>
      <c r="E2" s="171"/>
      <c r="F2" s="248"/>
      <c r="G2" s="170"/>
      <c r="H2" s="170"/>
      <c r="I2" s="248"/>
      <c r="J2" s="248"/>
      <c r="K2" s="170"/>
      <c r="L2" s="170"/>
      <c r="M2" s="170"/>
      <c r="N2" s="170"/>
      <c r="O2" s="170"/>
    </row>
    <row r="3" spans="1:15" ht="28.8" x14ac:dyDescent="0.3">
      <c r="A3" s="249"/>
      <c r="B3" s="246" t="s">
        <v>162</v>
      </c>
      <c r="C3" s="249" t="s">
        <v>373</v>
      </c>
      <c r="D3" s="176" t="s">
        <v>374</v>
      </c>
      <c r="E3" s="171"/>
      <c r="F3" s="248">
        <v>1</v>
      </c>
      <c r="G3" s="248">
        <v>1</v>
      </c>
      <c r="H3" s="170"/>
      <c r="I3" s="248">
        <v>1</v>
      </c>
      <c r="J3" s="248">
        <v>30</v>
      </c>
      <c r="K3" s="170"/>
      <c r="L3" s="170"/>
      <c r="M3" s="170"/>
      <c r="N3" s="170"/>
      <c r="O3" s="170"/>
    </row>
    <row r="4" spans="1:15" x14ac:dyDescent="0.3">
      <c r="A4" s="247"/>
      <c r="B4" s="246"/>
      <c r="C4" s="247"/>
      <c r="D4" s="176"/>
      <c r="E4" s="171"/>
      <c r="F4" s="248"/>
      <c r="G4" s="248"/>
      <c r="H4" s="170"/>
      <c r="I4" s="248"/>
      <c r="J4" s="248"/>
      <c r="K4" s="170"/>
      <c r="L4" s="170"/>
      <c r="M4" s="170"/>
      <c r="N4" s="170"/>
      <c r="O4" s="170"/>
    </row>
    <row r="5" spans="1:15" x14ac:dyDescent="0.3">
      <c r="A5" s="250"/>
      <c r="B5" s="246" t="s">
        <v>220</v>
      </c>
      <c r="C5" s="250" t="s">
        <v>375</v>
      </c>
      <c r="D5" s="176" t="s">
        <v>157</v>
      </c>
      <c r="E5" s="171"/>
      <c r="F5" s="248">
        <v>1</v>
      </c>
      <c r="G5" s="248">
        <v>1</v>
      </c>
      <c r="H5" s="170"/>
      <c r="I5" s="248">
        <v>1</v>
      </c>
      <c r="J5" s="248">
        <v>1</v>
      </c>
      <c r="K5" s="170"/>
      <c r="L5" s="170"/>
      <c r="M5" s="170"/>
      <c r="N5" s="170"/>
      <c r="O5" s="170"/>
    </row>
    <row r="6" spans="1:15" x14ac:dyDescent="0.3">
      <c r="A6" s="247"/>
      <c r="B6" s="170"/>
      <c r="C6" s="247"/>
      <c r="D6" s="176" t="s">
        <v>158</v>
      </c>
      <c r="E6" s="171"/>
      <c r="F6" s="248"/>
      <c r="G6" s="248"/>
      <c r="H6" s="170"/>
      <c r="I6" s="248"/>
      <c r="J6" s="248">
        <v>1</v>
      </c>
      <c r="K6" s="170"/>
      <c r="L6" s="170"/>
      <c r="M6" s="170"/>
      <c r="N6" s="170"/>
      <c r="O6" s="170"/>
    </row>
    <row r="7" spans="1:15" ht="28.8" x14ac:dyDescent="0.3">
      <c r="A7" s="247"/>
      <c r="B7" s="170"/>
      <c r="C7" s="247"/>
      <c r="D7" s="176" t="s">
        <v>159</v>
      </c>
      <c r="E7" s="171"/>
      <c r="F7" s="248"/>
      <c r="G7" s="248"/>
      <c r="H7" s="170"/>
      <c r="I7" s="248"/>
      <c r="J7" s="248">
        <v>12</v>
      </c>
      <c r="K7" s="170"/>
      <c r="L7" s="170"/>
      <c r="M7" s="170"/>
      <c r="N7" s="170"/>
      <c r="O7" s="170"/>
    </row>
    <row r="8" spans="1:15" x14ac:dyDescent="0.3">
      <c r="A8" s="247"/>
      <c r="B8" s="170"/>
      <c r="C8" s="247"/>
      <c r="D8" s="176" t="s">
        <v>160</v>
      </c>
      <c r="E8" s="171"/>
      <c r="F8" s="248"/>
      <c r="G8" s="248"/>
      <c r="H8" s="170"/>
      <c r="I8" s="248"/>
      <c r="J8" s="248">
        <v>12</v>
      </c>
      <c r="K8" s="170"/>
      <c r="L8" s="170"/>
      <c r="M8" s="170"/>
      <c r="N8" s="170"/>
      <c r="O8" s="170"/>
    </row>
    <row r="9" spans="1:15" x14ac:dyDescent="0.3">
      <c r="A9" s="247"/>
      <c r="B9" s="170"/>
      <c r="C9" s="247"/>
      <c r="D9" s="176" t="s">
        <v>161</v>
      </c>
      <c r="E9" s="171"/>
      <c r="F9" s="248"/>
      <c r="G9" s="248"/>
      <c r="H9" s="170"/>
      <c r="I9" s="248"/>
      <c r="J9" s="248">
        <v>6</v>
      </c>
      <c r="K9" s="170"/>
      <c r="L9" s="170"/>
      <c r="M9" s="170"/>
      <c r="N9" s="170"/>
      <c r="O9" s="170"/>
    </row>
    <row r="10" spans="1:15" x14ac:dyDescent="0.3">
      <c r="D10" s="176"/>
      <c r="E10" s="171"/>
      <c r="F10" s="248"/>
      <c r="G10" s="248"/>
      <c r="H10" s="170"/>
      <c r="I10" s="248"/>
      <c r="J10" s="248"/>
      <c r="K10" s="170"/>
      <c r="L10" s="170"/>
      <c r="M10" s="170"/>
      <c r="N10" s="170"/>
      <c r="O10" s="170"/>
    </row>
    <row r="11" spans="1:15" ht="28.8" x14ac:dyDescent="0.3">
      <c r="A11" s="171" t="s">
        <v>376</v>
      </c>
      <c r="B11" s="172" t="s">
        <v>162</v>
      </c>
      <c r="C11" s="171" t="s">
        <v>163</v>
      </c>
      <c r="D11" s="251" t="s">
        <v>377</v>
      </c>
      <c r="E11" s="252" t="s">
        <v>378</v>
      </c>
      <c r="F11" s="170">
        <v>1</v>
      </c>
      <c r="G11" s="170">
        <v>1</v>
      </c>
      <c r="H11" s="170"/>
      <c r="I11" s="170">
        <v>1</v>
      </c>
      <c r="J11" s="248">
        <v>15</v>
      </c>
      <c r="K11" s="170">
        <v>4</v>
      </c>
      <c r="L11" s="170"/>
      <c r="M11" s="170"/>
      <c r="N11" s="170"/>
      <c r="O11" s="170"/>
    </row>
    <row r="12" spans="1:15" x14ac:dyDescent="0.3">
      <c r="A12" s="171"/>
      <c r="B12" s="170"/>
      <c r="C12" s="171"/>
      <c r="D12" s="176" t="s">
        <v>379</v>
      </c>
      <c r="E12" s="171"/>
      <c r="F12" s="170"/>
      <c r="G12" s="170"/>
      <c r="H12" s="170"/>
      <c r="I12" s="170"/>
      <c r="J12" s="170">
        <v>3</v>
      </c>
      <c r="K12" s="170"/>
      <c r="L12" s="170"/>
      <c r="M12" s="170"/>
      <c r="N12" s="170"/>
      <c r="O12" s="170"/>
    </row>
    <row r="13" spans="1:15" x14ac:dyDescent="0.3">
      <c r="A13" s="171"/>
      <c r="B13" s="170"/>
      <c r="C13" s="171"/>
      <c r="D13" s="176"/>
      <c r="E13" s="171"/>
      <c r="F13" s="170"/>
      <c r="G13" s="170"/>
      <c r="H13" s="170"/>
      <c r="I13" s="170"/>
      <c r="J13" s="170"/>
      <c r="K13" s="170"/>
      <c r="L13" s="170"/>
      <c r="M13" s="170"/>
      <c r="N13" s="170"/>
      <c r="O13" s="170"/>
    </row>
    <row r="14" spans="1:15" ht="28.8" x14ac:dyDescent="0.3">
      <c r="A14" s="171" t="s">
        <v>380</v>
      </c>
      <c r="B14" s="170"/>
      <c r="C14" s="171" t="s">
        <v>381</v>
      </c>
      <c r="D14" s="176" t="s">
        <v>382</v>
      </c>
      <c r="E14" s="171"/>
      <c r="F14" s="170">
        <v>1</v>
      </c>
      <c r="G14" s="170">
        <v>1</v>
      </c>
      <c r="H14" s="170"/>
      <c r="I14" s="170">
        <v>1</v>
      </c>
      <c r="J14" s="170">
        <v>5</v>
      </c>
      <c r="K14" s="170">
        <v>5</v>
      </c>
      <c r="L14" s="170"/>
      <c r="M14" s="170"/>
      <c r="N14" s="170"/>
      <c r="O14" s="170"/>
    </row>
    <row r="15" spans="1:15" ht="28.8" x14ac:dyDescent="0.3">
      <c r="A15" s="171"/>
      <c r="B15" s="170"/>
      <c r="C15" s="171"/>
      <c r="D15" s="177" t="s">
        <v>383</v>
      </c>
      <c r="E15" s="178"/>
      <c r="F15" s="170"/>
      <c r="G15" s="170"/>
      <c r="H15" s="170"/>
      <c r="I15" s="170"/>
      <c r="J15" s="170">
        <v>15</v>
      </c>
      <c r="K15" s="170"/>
      <c r="L15" s="170"/>
      <c r="M15" s="170"/>
      <c r="N15" s="170"/>
      <c r="O15" s="170"/>
    </row>
    <row r="16" spans="1:15" ht="28.8" x14ac:dyDescent="0.3">
      <c r="A16" s="171"/>
      <c r="B16" s="170"/>
      <c r="C16" s="171"/>
      <c r="D16" s="177" t="s">
        <v>384</v>
      </c>
      <c r="E16" s="171"/>
      <c r="F16" s="170"/>
      <c r="G16" s="170"/>
      <c r="H16" s="170"/>
      <c r="I16" s="170"/>
      <c r="J16" s="170">
        <v>6</v>
      </c>
      <c r="K16" s="170"/>
      <c r="L16" s="170"/>
      <c r="M16" s="170"/>
      <c r="N16" s="170"/>
      <c r="O16" s="170"/>
    </row>
    <row r="17" spans="1:15" x14ac:dyDescent="0.3">
      <c r="A17" s="171"/>
      <c r="B17" s="170"/>
      <c r="C17" s="171"/>
      <c r="D17" s="176" t="s">
        <v>379</v>
      </c>
      <c r="E17" s="171"/>
      <c r="F17" s="170"/>
      <c r="G17" s="170"/>
      <c r="H17" s="170"/>
      <c r="I17" s="170"/>
      <c r="J17" s="170">
        <v>5</v>
      </c>
      <c r="K17" s="170"/>
      <c r="L17" s="170"/>
      <c r="M17" s="170"/>
      <c r="N17" s="170"/>
      <c r="O17" s="170"/>
    </row>
    <row r="18" spans="1:15" x14ac:dyDescent="0.3">
      <c r="A18" s="171"/>
      <c r="B18" s="170"/>
      <c r="C18" s="171"/>
      <c r="D18" s="176"/>
      <c r="E18" s="171"/>
      <c r="F18" s="170"/>
      <c r="G18" s="170"/>
      <c r="H18" s="170"/>
      <c r="I18" s="170"/>
      <c r="J18" s="170"/>
      <c r="K18" s="170"/>
      <c r="L18" s="170"/>
      <c r="M18" s="170"/>
      <c r="N18" s="170"/>
      <c r="O18" s="170"/>
    </row>
    <row r="19" spans="1:15" ht="43.2" x14ac:dyDescent="0.3">
      <c r="A19" s="176"/>
      <c r="B19" s="170"/>
      <c r="C19" s="176" t="s">
        <v>385</v>
      </c>
      <c r="D19" s="176" t="s">
        <v>386</v>
      </c>
      <c r="E19" s="171"/>
      <c r="F19" s="170">
        <v>1</v>
      </c>
      <c r="G19" s="170">
        <v>1</v>
      </c>
      <c r="H19" s="170"/>
      <c r="I19" s="170">
        <v>1</v>
      </c>
      <c r="J19" s="170">
        <v>8</v>
      </c>
      <c r="K19" s="170"/>
      <c r="L19" s="170"/>
      <c r="M19" s="170"/>
      <c r="N19" s="170"/>
      <c r="O19" s="170"/>
    </row>
    <row r="20" spans="1:15" ht="72" x14ac:dyDescent="0.3">
      <c r="A20" s="176" t="s">
        <v>387</v>
      </c>
      <c r="B20" s="170"/>
      <c r="C20" s="176"/>
      <c r="D20" s="176" t="s">
        <v>387</v>
      </c>
      <c r="E20" s="171" t="s">
        <v>388</v>
      </c>
      <c r="F20" s="170"/>
      <c r="G20" s="170"/>
      <c r="H20" s="170"/>
      <c r="I20" s="170"/>
      <c r="J20" s="170">
        <v>24</v>
      </c>
      <c r="K20" s="170">
        <v>6</v>
      </c>
      <c r="L20" s="170"/>
      <c r="M20" s="170"/>
      <c r="N20" s="170"/>
      <c r="O20" s="170"/>
    </row>
    <row r="21" spans="1:15" x14ac:dyDescent="0.3">
      <c r="A21" s="176"/>
      <c r="B21" s="170"/>
      <c r="C21" s="176"/>
      <c r="D21" s="176"/>
      <c r="E21" s="171" t="s">
        <v>389</v>
      </c>
      <c r="F21" s="170"/>
      <c r="G21" s="170"/>
      <c r="H21" s="170"/>
      <c r="I21" s="170"/>
      <c r="J21" s="170">
        <v>5</v>
      </c>
      <c r="K21" s="170"/>
      <c r="L21" s="170"/>
      <c r="M21" s="170"/>
      <c r="N21" s="170"/>
      <c r="O21" s="170"/>
    </row>
    <row r="22" spans="1:15" ht="28.8" x14ac:dyDescent="0.3">
      <c r="A22" s="176" t="s">
        <v>390</v>
      </c>
      <c r="B22" s="170"/>
      <c r="C22" s="176"/>
      <c r="D22" s="176" t="s">
        <v>391</v>
      </c>
      <c r="E22" s="171" t="s">
        <v>392</v>
      </c>
      <c r="F22" s="170"/>
      <c r="G22" s="170"/>
      <c r="H22" s="170"/>
      <c r="I22" s="170"/>
      <c r="J22" s="170">
        <v>18</v>
      </c>
      <c r="K22" s="170">
        <v>6</v>
      </c>
      <c r="L22" s="170"/>
      <c r="M22" s="170"/>
      <c r="N22" s="170"/>
      <c r="O22" s="170"/>
    </row>
    <row r="23" spans="1:15" x14ac:dyDescent="0.3">
      <c r="A23" s="176"/>
      <c r="B23" s="170"/>
      <c r="C23" s="176"/>
      <c r="D23" s="176"/>
      <c r="E23" s="171" t="s">
        <v>389</v>
      </c>
      <c r="F23" s="170"/>
      <c r="G23" s="170"/>
      <c r="H23" s="170"/>
      <c r="I23" s="170"/>
      <c r="J23" s="170">
        <v>4</v>
      </c>
      <c r="K23" s="170"/>
      <c r="L23" s="170"/>
      <c r="M23" s="170"/>
      <c r="N23" s="170"/>
      <c r="O23" s="170"/>
    </row>
    <row r="24" spans="1:15" ht="43.2" x14ac:dyDescent="0.3">
      <c r="A24" s="176" t="s">
        <v>393</v>
      </c>
      <c r="B24" s="170"/>
      <c r="C24" s="176"/>
      <c r="D24" s="176" t="s">
        <v>394</v>
      </c>
      <c r="E24" s="171" t="s">
        <v>395</v>
      </c>
      <c r="F24" s="170"/>
      <c r="G24" s="170"/>
      <c r="H24" s="170"/>
      <c r="I24" s="170"/>
      <c r="J24" s="170">
        <v>18</v>
      </c>
      <c r="K24" s="170">
        <v>6</v>
      </c>
      <c r="L24" s="170"/>
      <c r="M24" s="170"/>
      <c r="N24" s="170"/>
      <c r="O24" s="170"/>
    </row>
    <row r="25" spans="1:15" x14ac:dyDescent="0.3">
      <c r="A25" s="176"/>
      <c r="B25" s="170"/>
      <c r="C25" s="176"/>
      <c r="D25" s="176"/>
      <c r="E25" s="171" t="s">
        <v>389</v>
      </c>
      <c r="F25" s="170"/>
      <c r="G25" s="170"/>
      <c r="H25" s="170"/>
      <c r="I25" s="170"/>
      <c r="J25" s="170">
        <v>4</v>
      </c>
      <c r="K25" s="170"/>
      <c r="L25" s="170"/>
      <c r="M25" s="170"/>
      <c r="N25" s="170"/>
      <c r="O25" s="170"/>
    </row>
    <row r="26" spans="1:15" ht="28.8" x14ac:dyDescent="0.3">
      <c r="A26" s="176" t="s">
        <v>396</v>
      </c>
      <c r="B26" s="170"/>
      <c r="C26" s="176"/>
      <c r="D26" s="176" t="s">
        <v>396</v>
      </c>
      <c r="E26" s="171" t="s">
        <v>397</v>
      </c>
      <c r="F26" s="170"/>
      <c r="G26" s="170"/>
      <c r="H26" s="170"/>
      <c r="I26" s="170"/>
      <c r="J26" s="170">
        <v>18</v>
      </c>
      <c r="K26" s="170">
        <v>6</v>
      </c>
      <c r="L26" s="170"/>
      <c r="M26" s="170"/>
      <c r="N26" s="170"/>
      <c r="O26" s="170"/>
    </row>
    <row r="27" spans="1:15" x14ac:dyDescent="0.3">
      <c r="A27" s="176"/>
      <c r="B27" s="170"/>
      <c r="C27" s="176"/>
      <c r="D27" s="176"/>
      <c r="E27" s="171" t="s">
        <v>389</v>
      </c>
      <c r="F27" s="170"/>
      <c r="G27" s="170"/>
      <c r="H27" s="170"/>
      <c r="I27" s="170"/>
      <c r="J27" s="170">
        <v>4</v>
      </c>
      <c r="K27" s="170"/>
      <c r="L27" s="170"/>
      <c r="M27" s="170"/>
      <c r="N27" s="170"/>
      <c r="O27" s="170"/>
    </row>
    <row r="28" spans="1:15" ht="28.8" x14ac:dyDescent="0.3">
      <c r="A28" s="176" t="s">
        <v>398</v>
      </c>
      <c r="B28" s="170"/>
      <c r="C28" s="176"/>
      <c r="D28" s="176" t="s">
        <v>398</v>
      </c>
      <c r="E28" s="171" t="s">
        <v>399</v>
      </c>
      <c r="F28" s="170"/>
      <c r="G28" s="170"/>
      <c r="H28" s="170"/>
      <c r="I28" s="170"/>
      <c r="J28" s="170">
        <v>18</v>
      </c>
      <c r="K28" s="170">
        <v>6</v>
      </c>
      <c r="L28" s="170"/>
      <c r="M28" s="170"/>
      <c r="N28" s="170"/>
      <c r="O28" s="170"/>
    </row>
    <row r="29" spans="1:15" x14ac:dyDescent="0.3">
      <c r="A29" s="176"/>
      <c r="B29" s="170"/>
      <c r="C29" s="176"/>
      <c r="D29" s="176"/>
      <c r="E29" s="171" t="s">
        <v>389</v>
      </c>
      <c r="F29" s="170"/>
      <c r="G29" s="170"/>
      <c r="H29" s="170"/>
      <c r="I29" s="170"/>
      <c r="J29" s="170">
        <v>4</v>
      </c>
      <c r="K29" s="170"/>
      <c r="L29" s="170"/>
      <c r="M29" s="170"/>
      <c r="N29" s="170"/>
      <c r="O29" s="170"/>
    </row>
    <row r="30" spans="1:15" ht="28.8" x14ac:dyDescent="0.3">
      <c r="A30" s="176" t="s">
        <v>400</v>
      </c>
      <c r="B30" s="170"/>
      <c r="C30" s="176"/>
      <c r="D30" s="176" t="s">
        <v>401</v>
      </c>
      <c r="E30" s="171" t="s">
        <v>402</v>
      </c>
      <c r="F30" s="170"/>
      <c r="G30" s="170"/>
      <c r="H30" s="170"/>
      <c r="I30" s="170"/>
      <c r="J30" s="170">
        <v>18</v>
      </c>
      <c r="K30" s="170">
        <v>6</v>
      </c>
      <c r="L30" s="170"/>
      <c r="M30" s="170"/>
      <c r="N30" s="170"/>
      <c r="O30" s="170"/>
    </row>
    <row r="31" spans="1:15" x14ac:dyDescent="0.3">
      <c r="A31" s="176"/>
      <c r="B31" s="170"/>
      <c r="C31" s="176"/>
      <c r="D31" s="176"/>
      <c r="E31" s="171" t="s">
        <v>389</v>
      </c>
      <c r="F31" s="170"/>
      <c r="G31" s="170"/>
      <c r="H31" s="170"/>
      <c r="I31" s="170"/>
      <c r="J31" s="170">
        <v>4</v>
      </c>
      <c r="K31" s="170"/>
      <c r="L31" s="170"/>
      <c r="M31" s="170"/>
      <c r="N31" s="170"/>
      <c r="O31" s="170"/>
    </row>
    <row r="32" spans="1:15" ht="28.8" x14ac:dyDescent="0.3">
      <c r="A32" s="176" t="s">
        <v>403</v>
      </c>
      <c r="B32" s="170"/>
      <c r="C32" s="176"/>
      <c r="D32" s="176" t="s">
        <v>404</v>
      </c>
      <c r="E32" s="171" t="s">
        <v>405</v>
      </c>
      <c r="F32" s="170"/>
      <c r="G32" s="170"/>
      <c r="H32" s="170"/>
      <c r="I32" s="170"/>
      <c r="J32" s="170">
        <v>18</v>
      </c>
      <c r="K32" s="170">
        <v>6</v>
      </c>
      <c r="L32" s="170"/>
      <c r="M32" s="170"/>
      <c r="N32" s="170"/>
      <c r="O32" s="170"/>
    </row>
    <row r="33" spans="1:15" x14ac:dyDescent="0.3">
      <c r="A33" s="176"/>
      <c r="B33" s="170"/>
      <c r="C33" s="176"/>
      <c r="D33" s="176"/>
      <c r="E33" s="171" t="s">
        <v>389</v>
      </c>
      <c r="F33" s="170"/>
      <c r="G33" s="170"/>
      <c r="H33" s="170"/>
      <c r="I33" s="170"/>
      <c r="J33" s="170">
        <v>4</v>
      </c>
      <c r="K33" s="170"/>
      <c r="L33" s="170"/>
      <c r="M33" s="170"/>
      <c r="N33" s="170"/>
      <c r="O33" s="170"/>
    </row>
    <row r="34" spans="1:15" ht="28.8" x14ac:dyDescent="0.3">
      <c r="A34" s="176" t="s">
        <v>406</v>
      </c>
      <c r="B34" s="170"/>
      <c r="C34" s="176"/>
      <c r="D34" s="176" t="s">
        <v>407</v>
      </c>
      <c r="E34" s="171" t="s">
        <v>408</v>
      </c>
      <c r="F34" s="170"/>
      <c r="G34" s="170"/>
      <c r="H34" s="170"/>
      <c r="I34" s="170"/>
      <c r="J34" s="170">
        <v>18</v>
      </c>
      <c r="K34" s="170">
        <v>6</v>
      </c>
      <c r="L34" s="170"/>
      <c r="M34" s="170"/>
      <c r="N34" s="170"/>
      <c r="O34" s="170"/>
    </row>
    <row r="35" spans="1:15" x14ac:dyDescent="0.3">
      <c r="A35" s="171"/>
      <c r="B35" s="170"/>
      <c r="C35" s="171"/>
      <c r="D35" s="176"/>
      <c r="E35" s="171" t="s">
        <v>389</v>
      </c>
      <c r="F35" s="170"/>
      <c r="G35" s="170"/>
      <c r="H35" s="170"/>
      <c r="I35" s="170"/>
      <c r="J35" s="170">
        <v>4</v>
      </c>
      <c r="K35" s="170"/>
      <c r="L35" s="170"/>
      <c r="M35" s="170"/>
      <c r="N35" s="170"/>
      <c r="O35" s="170"/>
    </row>
    <row r="36" spans="1:15" x14ac:dyDescent="0.3">
      <c r="A36" s="171"/>
      <c r="B36" s="170"/>
      <c r="C36" s="171"/>
      <c r="D36" s="176"/>
      <c r="E36" s="171"/>
      <c r="F36" s="170"/>
      <c r="G36" s="170"/>
      <c r="H36" s="170"/>
      <c r="I36" s="170"/>
      <c r="J36" s="170"/>
      <c r="K36" s="170"/>
      <c r="L36" s="170"/>
      <c r="M36" s="170"/>
      <c r="N36" s="170"/>
      <c r="O36" s="170"/>
    </row>
    <row r="37" spans="1:15" ht="28.8" x14ac:dyDescent="0.3">
      <c r="A37" s="171"/>
      <c r="B37" s="170"/>
      <c r="C37" s="171" t="s">
        <v>409</v>
      </c>
      <c r="D37" s="176" t="s">
        <v>410</v>
      </c>
      <c r="E37" s="171"/>
      <c r="F37" s="170">
        <v>1</v>
      </c>
      <c r="G37" s="170">
        <v>1</v>
      </c>
      <c r="H37" s="170"/>
      <c r="I37" s="170">
        <v>1</v>
      </c>
      <c r="J37" s="170">
        <v>14</v>
      </c>
      <c r="K37" s="170">
        <v>8</v>
      </c>
      <c r="L37" s="170"/>
      <c r="M37" s="170"/>
      <c r="N37" s="170"/>
      <c r="O37" s="170"/>
    </row>
    <row r="38" spans="1:15" ht="28.8" x14ac:dyDescent="0.3">
      <c r="A38" s="171"/>
      <c r="B38" s="170"/>
      <c r="C38" s="171"/>
      <c r="D38" s="176" t="s">
        <v>411</v>
      </c>
      <c r="E38" s="171"/>
      <c r="F38" s="170"/>
      <c r="G38" s="170"/>
      <c r="H38" s="170"/>
      <c r="I38" s="170"/>
      <c r="J38" s="170">
        <v>4</v>
      </c>
      <c r="K38" s="170"/>
      <c r="L38" s="170"/>
      <c r="M38" s="170"/>
      <c r="N38" s="170"/>
      <c r="O38" s="170"/>
    </row>
    <row r="39" spans="1:15" x14ac:dyDescent="0.3">
      <c r="A39" s="171"/>
      <c r="B39" s="170"/>
      <c r="C39" s="171"/>
      <c r="D39" s="176" t="s">
        <v>412</v>
      </c>
      <c r="E39" s="171"/>
      <c r="F39" s="170"/>
      <c r="G39" s="170"/>
      <c r="H39" s="170"/>
      <c r="I39" s="170"/>
      <c r="J39" s="170">
        <v>3</v>
      </c>
      <c r="K39" s="170"/>
      <c r="L39" s="170"/>
      <c r="M39" s="170"/>
      <c r="N39" s="170"/>
      <c r="O39" s="170"/>
    </row>
    <row r="40" spans="1:15" ht="43.2" x14ac:dyDescent="0.3">
      <c r="A40" s="171"/>
      <c r="B40" s="170"/>
      <c r="C40" s="171"/>
      <c r="D40" s="176" t="s">
        <v>413</v>
      </c>
      <c r="E40" s="171"/>
      <c r="F40" s="170"/>
      <c r="G40" s="170"/>
      <c r="H40" s="170"/>
      <c r="I40" s="170"/>
      <c r="J40" s="170">
        <v>6</v>
      </c>
      <c r="K40" s="170">
        <v>3</v>
      </c>
      <c r="L40" s="170"/>
      <c r="M40" s="170"/>
      <c r="N40" s="170"/>
      <c r="O40" s="170"/>
    </row>
    <row r="41" spans="1:15" ht="28.8" x14ac:dyDescent="0.3">
      <c r="A41" s="171"/>
      <c r="B41" s="170"/>
      <c r="C41" s="171"/>
      <c r="D41" s="176" t="s">
        <v>414</v>
      </c>
      <c r="E41" s="171"/>
      <c r="F41" s="170"/>
      <c r="G41" s="170"/>
      <c r="H41" s="170"/>
      <c r="I41" s="170"/>
      <c r="J41" s="170">
        <v>3</v>
      </c>
      <c r="K41" s="170"/>
      <c r="L41" s="170"/>
      <c r="M41" s="170"/>
      <c r="N41" s="170"/>
      <c r="O41" s="170"/>
    </row>
    <row r="42" spans="1:15" x14ac:dyDescent="0.3">
      <c r="A42" s="171"/>
      <c r="B42" s="170"/>
      <c r="C42" s="171"/>
      <c r="D42" s="253" t="s">
        <v>379</v>
      </c>
      <c r="E42" s="171"/>
      <c r="F42" s="170"/>
      <c r="G42" s="170"/>
      <c r="H42" s="170"/>
      <c r="I42" s="170"/>
      <c r="J42" s="170">
        <v>8</v>
      </c>
      <c r="K42" s="170"/>
      <c r="L42" s="170"/>
      <c r="M42" s="170"/>
      <c r="N42" s="170"/>
      <c r="O42" s="170"/>
    </row>
    <row r="43" spans="1:15" x14ac:dyDescent="0.3">
      <c r="A43" s="171"/>
      <c r="B43" s="170"/>
      <c r="C43" s="171"/>
      <c r="D43" s="253"/>
      <c r="E43" s="171"/>
      <c r="F43" s="170"/>
      <c r="G43" s="170"/>
      <c r="H43" s="170"/>
      <c r="I43" s="170"/>
      <c r="J43" s="170"/>
      <c r="K43" s="170"/>
      <c r="L43" s="170"/>
      <c r="M43" s="170"/>
      <c r="N43" s="170"/>
      <c r="O43" s="170"/>
    </row>
    <row r="44" spans="1:15" ht="28.8" x14ac:dyDescent="0.3">
      <c r="A44" s="171" t="s">
        <v>391</v>
      </c>
      <c r="B44" s="170"/>
      <c r="C44" s="171" t="s">
        <v>415</v>
      </c>
      <c r="D44" s="176" t="s">
        <v>416</v>
      </c>
      <c r="E44" s="171"/>
      <c r="F44" s="170">
        <v>1</v>
      </c>
      <c r="G44" s="170">
        <v>1</v>
      </c>
      <c r="H44" s="170"/>
      <c r="I44" s="170">
        <v>1</v>
      </c>
      <c r="J44" s="170">
        <v>14</v>
      </c>
      <c r="K44" s="170">
        <v>6</v>
      </c>
      <c r="L44" s="170"/>
      <c r="M44" s="170"/>
      <c r="N44" s="170"/>
      <c r="O44" s="170"/>
    </row>
    <row r="45" spans="1:15" x14ac:dyDescent="0.3">
      <c r="A45" s="171"/>
      <c r="B45" s="170"/>
      <c r="C45" s="171"/>
      <c r="D45" s="176" t="s">
        <v>417</v>
      </c>
      <c r="E45" s="171"/>
      <c r="F45" s="170"/>
      <c r="G45" s="170"/>
      <c r="H45" s="170"/>
      <c r="I45" s="170"/>
      <c r="J45" s="170">
        <v>4</v>
      </c>
      <c r="K45" s="170"/>
      <c r="L45" s="170"/>
      <c r="M45" s="170"/>
      <c r="N45" s="170"/>
      <c r="O45" s="170"/>
    </row>
    <row r="46" spans="1:15" ht="28.8" x14ac:dyDescent="0.3">
      <c r="A46" s="171"/>
      <c r="B46" s="170"/>
      <c r="C46" s="171"/>
      <c r="D46" s="176" t="s">
        <v>414</v>
      </c>
      <c r="E46" s="171"/>
      <c r="F46" s="170"/>
      <c r="G46" s="170"/>
      <c r="H46" s="170"/>
      <c r="I46" s="170"/>
      <c r="J46" s="170">
        <v>6</v>
      </c>
      <c r="K46" s="170"/>
      <c r="L46" s="170"/>
      <c r="M46" s="170"/>
      <c r="N46" s="170"/>
      <c r="O46" s="170"/>
    </row>
    <row r="47" spans="1:15" x14ac:dyDescent="0.3">
      <c r="A47" s="171"/>
      <c r="B47" s="170"/>
      <c r="C47" s="171"/>
      <c r="D47" s="253" t="s">
        <v>379</v>
      </c>
      <c r="E47" s="171"/>
      <c r="F47" s="170"/>
      <c r="G47" s="170"/>
      <c r="H47" s="170"/>
      <c r="I47" s="170"/>
      <c r="J47" s="170">
        <v>5</v>
      </c>
      <c r="K47" s="170"/>
      <c r="L47" s="170"/>
      <c r="M47" s="170"/>
      <c r="N47" s="170"/>
      <c r="O47" s="170"/>
    </row>
    <row r="48" spans="1:15" x14ac:dyDescent="0.3">
      <c r="A48" s="171"/>
      <c r="B48" s="170"/>
      <c r="C48" s="171"/>
      <c r="D48" s="253"/>
      <c r="E48" s="171"/>
      <c r="F48" s="170"/>
      <c r="G48" s="170"/>
      <c r="H48" s="170"/>
      <c r="I48" s="170"/>
      <c r="J48" s="170"/>
      <c r="K48" s="170"/>
      <c r="L48" s="170"/>
      <c r="M48" s="170"/>
      <c r="N48" s="170"/>
      <c r="O48" s="170"/>
    </row>
    <row r="49" spans="1:15" x14ac:dyDescent="0.3">
      <c r="A49" s="171"/>
      <c r="B49" s="170"/>
      <c r="C49" s="171" t="s">
        <v>418</v>
      </c>
      <c r="D49" s="176" t="s">
        <v>416</v>
      </c>
      <c r="E49" s="171"/>
      <c r="F49" s="170">
        <v>1</v>
      </c>
      <c r="G49" s="170">
        <v>1</v>
      </c>
      <c r="H49" s="170"/>
      <c r="I49" s="170">
        <v>1</v>
      </c>
      <c r="J49" s="170">
        <v>6</v>
      </c>
      <c r="K49" s="170">
        <v>5</v>
      </c>
      <c r="L49" s="170"/>
      <c r="M49" s="170"/>
      <c r="N49" s="170"/>
      <c r="O49" s="170"/>
    </row>
    <row r="50" spans="1:15" ht="28.8" x14ac:dyDescent="0.3">
      <c r="A50" s="171"/>
      <c r="B50" s="170"/>
      <c r="C50" s="171"/>
      <c r="D50" s="176" t="s">
        <v>419</v>
      </c>
      <c r="E50" s="171"/>
      <c r="F50" s="170"/>
      <c r="G50" s="170"/>
      <c r="H50" s="170"/>
      <c r="I50" s="170"/>
      <c r="J50" s="170">
        <v>4</v>
      </c>
      <c r="K50" s="170"/>
      <c r="L50" s="170"/>
      <c r="M50" s="170"/>
      <c r="N50" s="170"/>
      <c r="O50" s="170"/>
    </row>
    <row r="51" spans="1:15" x14ac:dyDescent="0.3">
      <c r="A51" s="171"/>
      <c r="B51" s="170"/>
      <c r="C51" s="171"/>
      <c r="D51" s="253" t="s">
        <v>379</v>
      </c>
      <c r="E51" s="171"/>
      <c r="F51" s="170"/>
      <c r="G51" s="170"/>
      <c r="H51" s="170"/>
      <c r="I51" s="170"/>
      <c r="J51" s="170">
        <v>5</v>
      </c>
      <c r="K51" s="170"/>
      <c r="L51" s="170"/>
      <c r="M51" s="170"/>
      <c r="N51" s="170"/>
      <c r="O51" s="170"/>
    </row>
    <row r="52" spans="1:15" x14ac:dyDescent="0.3">
      <c r="A52" s="171"/>
      <c r="B52" s="170"/>
      <c r="C52" s="171"/>
      <c r="D52" s="254"/>
      <c r="E52" s="171"/>
      <c r="F52" s="170"/>
      <c r="G52" s="170"/>
      <c r="H52" s="170"/>
      <c r="I52" s="170"/>
      <c r="J52" s="170"/>
      <c r="K52" s="170"/>
      <c r="L52" s="170"/>
      <c r="M52" s="170"/>
      <c r="N52" s="170"/>
      <c r="O52" s="170"/>
    </row>
    <row r="53" spans="1:15" ht="28.8" x14ac:dyDescent="0.3">
      <c r="A53" s="171" t="s">
        <v>14</v>
      </c>
      <c r="B53" s="175" t="s">
        <v>420</v>
      </c>
      <c r="C53" s="171" t="s">
        <v>421</v>
      </c>
      <c r="D53" s="176" t="s">
        <v>422</v>
      </c>
      <c r="E53" s="171"/>
      <c r="F53" s="170">
        <v>1</v>
      </c>
      <c r="G53" s="170">
        <v>1</v>
      </c>
      <c r="H53" s="170"/>
      <c r="I53" s="170">
        <v>1</v>
      </c>
      <c r="J53" s="170">
        <v>16</v>
      </c>
      <c r="K53" s="170">
        <v>6</v>
      </c>
      <c r="L53" s="170"/>
      <c r="M53" s="170"/>
      <c r="N53" s="170"/>
      <c r="O53" s="170"/>
    </row>
    <row r="54" spans="1:15" x14ac:dyDescent="0.3">
      <c r="A54" s="171"/>
      <c r="B54" s="170"/>
      <c r="C54" s="171"/>
      <c r="D54" s="253" t="s">
        <v>379</v>
      </c>
      <c r="E54" s="171"/>
      <c r="F54" s="170"/>
      <c r="G54" s="170"/>
      <c r="H54" s="170"/>
      <c r="I54" s="170"/>
      <c r="J54" s="170">
        <v>2</v>
      </c>
      <c r="K54" s="170"/>
      <c r="L54" s="170"/>
      <c r="M54" s="170"/>
      <c r="N54" s="170"/>
      <c r="O54" s="170"/>
    </row>
    <row r="55" spans="1:15" x14ac:dyDescent="0.3">
      <c r="B55" s="170"/>
      <c r="D55" s="253"/>
      <c r="E55" s="171"/>
      <c r="F55" s="170"/>
      <c r="G55" s="170"/>
      <c r="H55" s="170"/>
      <c r="I55" s="170"/>
      <c r="J55" s="170"/>
      <c r="K55" s="170"/>
      <c r="L55" s="170"/>
      <c r="M55" s="170"/>
      <c r="N55" s="170"/>
      <c r="O55" s="170"/>
    </row>
    <row r="56" spans="1:15" ht="29.25" customHeight="1" x14ac:dyDescent="0.3">
      <c r="B56" s="255" t="s">
        <v>423</v>
      </c>
      <c r="C56" s="166" t="s">
        <v>424</v>
      </c>
      <c r="D56" s="176" t="s">
        <v>425</v>
      </c>
      <c r="E56" s="171"/>
      <c r="F56" s="170">
        <v>1</v>
      </c>
      <c r="G56" s="170">
        <v>1</v>
      </c>
      <c r="H56" s="170"/>
      <c r="I56" s="170">
        <v>1</v>
      </c>
      <c r="J56" s="170">
        <v>5</v>
      </c>
      <c r="K56" s="256">
        <v>3</v>
      </c>
      <c r="L56" s="170"/>
      <c r="M56" s="170"/>
      <c r="N56" s="170"/>
      <c r="O56" s="170"/>
    </row>
    <row r="57" spans="1:15" ht="28.8" x14ac:dyDescent="0.3">
      <c r="A57" s="255"/>
      <c r="B57" s="170"/>
      <c r="C57" s="255"/>
      <c r="D57" s="176" t="s">
        <v>426</v>
      </c>
      <c r="E57" s="171"/>
      <c r="F57" s="170"/>
      <c r="G57" s="170"/>
      <c r="H57" s="170"/>
      <c r="I57" s="170"/>
      <c r="J57" s="170">
        <v>5</v>
      </c>
      <c r="K57" s="256">
        <v>2</v>
      </c>
      <c r="L57" s="170"/>
      <c r="M57" s="170"/>
      <c r="N57" s="170"/>
      <c r="O57" s="170"/>
    </row>
    <row r="58" spans="1:15" ht="159" customHeight="1" thickBot="1" x14ac:dyDescent="0.35">
      <c r="A58" s="255"/>
      <c r="B58" s="170"/>
      <c r="C58" s="255"/>
      <c r="D58" s="176" t="s">
        <v>427</v>
      </c>
      <c r="E58" s="178" t="s">
        <v>428</v>
      </c>
      <c r="F58" s="170"/>
      <c r="G58" s="170"/>
      <c r="H58" s="170"/>
      <c r="I58" s="170"/>
      <c r="J58" s="170">
        <v>20</v>
      </c>
      <c r="K58" s="256">
        <v>6</v>
      </c>
      <c r="L58" s="170"/>
      <c r="M58" s="170"/>
      <c r="N58" s="170"/>
      <c r="O58" s="170"/>
    </row>
    <row r="59" spans="1:15" ht="15" thickBot="1" x14ac:dyDescent="0.35">
      <c r="A59" s="233">
        <f>COUNTA(A1:A58)</f>
        <v>13</v>
      </c>
      <c r="B59" s="233">
        <f>COUNTA(B27:B58)</f>
        <v>2</v>
      </c>
      <c r="C59" s="233">
        <f t="shared" ref="C59:E59" si="0">COUNTA(C27:C58)</f>
        <v>5</v>
      </c>
      <c r="D59" s="233">
        <f t="shared" si="0"/>
        <v>22</v>
      </c>
      <c r="E59" s="233">
        <f t="shared" si="0"/>
        <v>10</v>
      </c>
      <c r="F59" s="170"/>
      <c r="G59" s="170"/>
      <c r="H59" s="170"/>
      <c r="I59" s="170"/>
      <c r="J59" s="170"/>
      <c r="K59" s="170"/>
      <c r="L59" s="170"/>
      <c r="M59" s="170"/>
      <c r="N59" s="170"/>
      <c r="O59" s="170"/>
    </row>
    <row r="60" spans="1:15" x14ac:dyDescent="0.3">
      <c r="A60" s="171"/>
      <c r="B60" s="170" t="s">
        <v>429</v>
      </c>
      <c r="C60" s="171"/>
      <c r="D60" s="176"/>
      <c r="E60" s="171"/>
      <c r="F60" s="170">
        <f>SUM(F1:F58)</f>
        <v>10</v>
      </c>
      <c r="G60" s="170">
        <f t="shared" ref="G60:O60" si="1">SUM(G1:G58)</f>
        <v>10</v>
      </c>
      <c r="H60" s="170"/>
      <c r="I60" s="170">
        <f t="shared" si="1"/>
        <v>10</v>
      </c>
      <c r="J60" s="170">
        <f>SUM(J1:J58)</f>
        <v>432</v>
      </c>
      <c r="K60" s="170">
        <f t="shared" si="1"/>
        <v>96</v>
      </c>
      <c r="L60" s="170">
        <f t="shared" si="1"/>
        <v>0</v>
      </c>
      <c r="M60" s="170">
        <f t="shared" si="1"/>
        <v>0</v>
      </c>
      <c r="N60" s="170">
        <f t="shared" si="1"/>
        <v>0</v>
      </c>
      <c r="O60" s="170">
        <f t="shared" si="1"/>
        <v>0</v>
      </c>
    </row>
    <row r="61" spans="1:15" ht="15" customHeight="1" thickBot="1" x14ac:dyDescent="0.35"/>
    <row r="62" spans="1:15" x14ac:dyDescent="0.3">
      <c r="A62" s="258"/>
      <c r="B62" s="257"/>
      <c r="C62" s="258"/>
      <c r="D62" s="259" t="s">
        <v>98</v>
      </c>
      <c r="E62" s="260" t="s">
        <v>306</v>
      </c>
      <c r="F62" s="13"/>
      <c r="G62" s="13"/>
      <c r="H62" s="13"/>
      <c r="I62" s="13" t="s">
        <v>430</v>
      </c>
      <c r="J62" s="13">
        <f>(J60/8)</f>
        <v>54</v>
      </c>
      <c r="K62" s="13">
        <f>(K60/8)</f>
        <v>12</v>
      </c>
      <c r="L62" s="39"/>
    </row>
    <row r="63" spans="1:15" x14ac:dyDescent="0.3">
      <c r="A63" s="261"/>
      <c r="B63" s="19"/>
      <c r="C63" s="261" t="s">
        <v>307</v>
      </c>
      <c r="D63" s="262">
        <f>J60</f>
        <v>432</v>
      </c>
      <c r="E63" s="263">
        <f>J62</f>
        <v>54</v>
      </c>
      <c r="F63" s="1"/>
      <c r="G63" s="1"/>
      <c r="H63" s="1"/>
      <c r="I63" s="1"/>
      <c r="J63" s="1"/>
      <c r="K63" s="1"/>
      <c r="L63" s="10"/>
    </row>
    <row r="64" spans="1:15" x14ac:dyDescent="0.3">
      <c r="A64" s="261"/>
      <c r="B64" s="19"/>
      <c r="C64" s="261" t="s">
        <v>308</v>
      </c>
      <c r="D64" s="262">
        <f>K60</f>
        <v>96</v>
      </c>
      <c r="E64" s="263">
        <f>K62</f>
        <v>12</v>
      </c>
      <c r="F64" s="1"/>
      <c r="G64" s="1"/>
      <c r="H64" s="1"/>
      <c r="I64" s="1"/>
      <c r="J64" s="1"/>
      <c r="K64" s="1"/>
      <c r="L64" s="10"/>
    </row>
    <row r="65" spans="1:12" x14ac:dyDescent="0.3">
      <c r="A65" s="261"/>
      <c r="B65" s="19"/>
      <c r="C65" s="261" t="s">
        <v>309</v>
      </c>
      <c r="D65" s="262">
        <v>64</v>
      </c>
      <c r="E65" s="263">
        <v>8</v>
      </c>
      <c r="F65" s="1"/>
      <c r="G65" s="1"/>
      <c r="H65" s="1"/>
      <c r="I65" s="1"/>
      <c r="J65" s="1">
        <f>60*8</f>
        <v>480</v>
      </c>
      <c r="K65" s="1">
        <f>15*8</f>
        <v>120</v>
      </c>
      <c r="L65" s="10"/>
    </row>
    <row r="66" spans="1:12" x14ac:dyDescent="0.3">
      <c r="A66" s="261"/>
      <c r="B66" s="19"/>
      <c r="C66" s="261" t="s">
        <v>310</v>
      </c>
      <c r="D66" s="262">
        <v>24</v>
      </c>
      <c r="E66" s="263">
        <v>3</v>
      </c>
      <c r="F66" s="1"/>
      <c r="G66" s="1"/>
      <c r="H66" s="1"/>
      <c r="I66" s="262"/>
      <c r="J66" s="1"/>
      <c r="K66" s="1"/>
      <c r="L66" s="10"/>
    </row>
    <row r="67" spans="1:12" x14ac:dyDescent="0.3">
      <c r="A67" s="261"/>
      <c r="B67" s="19"/>
      <c r="C67" s="261" t="s">
        <v>43</v>
      </c>
      <c r="D67" s="262">
        <v>64</v>
      </c>
      <c r="E67" s="263">
        <v>8</v>
      </c>
      <c r="F67" s="1"/>
      <c r="G67" s="1"/>
      <c r="H67" s="1"/>
      <c r="I67" s="262"/>
      <c r="J67" s="1"/>
      <c r="K67" s="1"/>
      <c r="L67" s="10"/>
    </row>
    <row r="68" spans="1:12" x14ac:dyDescent="0.3">
      <c r="A68" s="261"/>
      <c r="B68" s="19"/>
      <c r="C68" s="261" t="s">
        <v>311</v>
      </c>
      <c r="D68" s="264"/>
      <c r="E68" s="263"/>
      <c r="F68" s="1"/>
      <c r="G68" s="1"/>
      <c r="H68" s="1"/>
      <c r="I68" s="262"/>
      <c r="J68" s="1"/>
      <c r="K68" s="1"/>
      <c r="L68" s="10"/>
    </row>
    <row r="69" spans="1:12" x14ac:dyDescent="0.3">
      <c r="A69" s="265"/>
      <c r="B69" s="19"/>
      <c r="C69" s="265"/>
      <c r="D69" s="262"/>
      <c r="E69" s="266"/>
      <c r="F69" s="1"/>
      <c r="G69" s="1"/>
      <c r="H69" s="1"/>
      <c r="I69" s="262"/>
      <c r="J69" s="1"/>
      <c r="K69" s="1"/>
      <c r="L69" s="10"/>
    </row>
    <row r="70" spans="1:12" ht="15" thickBot="1" x14ac:dyDescent="0.35">
      <c r="A70" s="268"/>
      <c r="B70" s="267"/>
      <c r="C70" s="268" t="s">
        <v>431</v>
      </c>
      <c r="D70" s="269">
        <f>SUM(D63:D68)</f>
        <v>680</v>
      </c>
      <c r="E70" s="270">
        <f>SUM(E63:E68)</f>
        <v>85</v>
      </c>
      <c r="F70" s="40"/>
      <c r="G70" s="40"/>
      <c r="H70" s="40"/>
      <c r="I70" s="269"/>
      <c r="J70" s="40"/>
      <c r="K70" s="40"/>
      <c r="L70" s="11"/>
    </row>
    <row r="71" spans="1:12" ht="15" customHeight="1" x14ac:dyDescent="0.3">
      <c r="I71" s="110"/>
    </row>
    <row r="72" spans="1:12" ht="15" customHeight="1" x14ac:dyDescent="0.3">
      <c r="I72" s="110"/>
    </row>
    <row r="73" spans="1:12" ht="15" customHeight="1" x14ac:dyDescent="0.3">
      <c r="I73" s="271"/>
    </row>
    <row r="74" spans="1:12" ht="15" customHeight="1" x14ac:dyDescent="0.3">
      <c r="I74" s="1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3A961-52A4-4027-9CF5-69C3D06E2CFB}">
  <dimension ref="A1:P251"/>
  <sheetViews>
    <sheetView tabSelected="1" topLeftCell="A223" zoomScale="91" zoomScaleNormal="91" workbookViewId="0">
      <selection activeCell="B2" sqref="B2:B250"/>
    </sheetView>
  </sheetViews>
  <sheetFormatPr defaultRowHeight="14.4" x14ac:dyDescent="0.3"/>
  <cols>
    <col min="1" max="1" width="21" bestFit="1" customWidth="1"/>
    <col min="2" max="2" width="24.44140625" bestFit="1" customWidth="1"/>
    <col min="3" max="4" width="27.44140625" bestFit="1" customWidth="1"/>
    <col min="5" max="5" width="6.109375" bestFit="1" customWidth="1"/>
    <col min="6" max="6" width="5.6640625" bestFit="1" customWidth="1"/>
    <col min="7" max="7" width="11.33203125" customWidth="1"/>
    <col min="8" max="8" width="12.33203125" customWidth="1"/>
    <col min="9" max="10" width="8" customWidth="1"/>
    <col min="11" max="11" width="11.6640625" customWidth="1"/>
    <col min="12" max="12" width="15.33203125" customWidth="1"/>
    <col min="13" max="13" width="7.109375" customWidth="1"/>
    <col min="14" max="14" width="15.44140625" customWidth="1"/>
    <col min="15" max="15" width="6" customWidth="1"/>
    <col min="16" max="16" width="8.44140625" customWidth="1"/>
  </cols>
  <sheetData>
    <row r="1" spans="1:16" ht="15" thickBot="1" x14ac:dyDescent="0.35">
      <c r="A1" s="161" t="s">
        <v>1</v>
      </c>
      <c r="B1" s="162" t="s">
        <v>151</v>
      </c>
      <c r="C1" s="162" t="s">
        <v>3</v>
      </c>
      <c r="D1" s="163" t="s">
        <v>152</v>
      </c>
      <c r="E1" s="41" t="s">
        <v>81</v>
      </c>
      <c r="F1" s="42" t="s">
        <v>61</v>
      </c>
      <c r="G1" s="42" t="s">
        <v>82</v>
      </c>
      <c r="H1" s="42" t="s">
        <v>83</v>
      </c>
      <c r="I1" s="42" t="s">
        <v>84</v>
      </c>
      <c r="J1" s="42" t="s">
        <v>85</v>
      </c>
      <c r="K1" s="42" t="s">
        <v>86</v>
      </c>
      <c r="L1" s="42" t="s">
        <v>87</v>
      </c>
      <c r="M1" s="42" t="s">
        <v>88</v>
      </c>
      <c r="N1" s="42" t="s">
        <v>89</v>
      </c>
      <c r="O1" s="42" t="s">
        <v>90</v>
      </c>
      <c r="P1" s="43" t="s">
        <v>91</v>
      </c>
    </row>
    <row r="2" spans="1:16" x14ac:dyDescent="0.3">
      <c r="A2" s="122"/>
      <c r="B2" s="123" t="s">
        <v>435</v>
      </c>
      <c r="C2" s="123"/>
      <c r="D2" s="159"/>
      <c r="E2" s="14">
        <v>5</v>
      </c>
      <c r="F2" s="13">
        <v>5</v>
      </c>
      <c r="G2" s="13">
        <v>5</v>
      </c>
      <c r="H2" s="13">
        <v>8</v>
      </c>
      <c r="I2" s="13">
        <v>10</v>
      </c>
      <c r="J2" s="13">
        <v>10</v>
      </c>
      <c r="K2" s="13">
        <v>3</v>
      </c>
      <c r="L2" s="13">
        <v>6</v>
      </c>
      <c r="M2" s="13">
        <v>1</v>
      </c>
      <c r="N2" s="13">
        <v>1</v>
      </c>
      <c r="O2" s="13">
        <v>2</v>
      </c>
      <c r="P2" s="39">
        <v>2</v>
      </c>
    </row>
    <row r="3" spans="1:16" x14ac:dyDescent="0.3">
      <c r="A3" s="124"/>
      <c r="B3" s="125"/>
      <c r="C3" s="125" t="s">
        <v>436</v>
      </c>
      <c r="D3" s="151"/>
      <c r="E3" s="5"/>
      <c r="F3" s="1"/>
      <c r="G3" s="1"/>
      <c r="H3" s="1"/>
      <c r="I3" s="1"/>
      <c r="J3" s="1"/>
      <c r="K3" s="1"/>
      <c r="L3" s="1"/>
      <c r="M3" s="1"/>
      <c r="N3" s="1"/>
      <c r="O3" s="1"/>
      <c r="P3" s="10"/>
    </row>
    <row r="4" spans="1:16" x14ac:dyDescent="0.3">
      <c r="A4" s="124"/>
      <c r="B4" s="125"/>
      <c r="C4" s="125" t="s">
        <v>437</v>
      </c>
      <c r="D4" s="151"/>
      <c r="E4" s="5"/>
      <c r="F4" s="1"/>
      <c r="G4" s="1"/>
      <c r="H4" s="1"/>
      <c r="I4" s="1"/>
      <c r="J4" s="1"/>
      <c r="K4" s="1"/>
      <c r="L4" s="1"/>
      <c r="M4" s="1"/>
      <c r="N4" s="1"/>
      <c r="O4" s="1"/>
      <c r="P4" s="10"/>
    </row>
    <row r="5" spans="1:16" x14ac:dyDescent="0.3">
      <c r="A5" s="124"/>
      <c r="B5" s="125"/>
      <c r="C5" s="125" t="s">
        <v>438</v>
      </c>
      <c r="D5" s="151"/>
      <c r="E5" s="5"/>
      <c r="F5" s="1"/>
      <c r="G5" s="1"/>
      <c r="H5" s="1"/>
      <c r="I5" s="1"/>
      <c r="J5" s="1"/>
      <c r="K5" s="1"/>
      <c r="L5" s="1"/>
      <c r="M5" s="1"/>
      <c r="N5" s="1"/>
      <c r="O5" s="1"/>
      <c r="P5" s="10"/>
    </row>
    <row r="6" spans="1:16" x14ac:dyDescent="0.3">
      <c r="A6" s="124"/>
      <c r="B6" s="125"/>
      <c r="C6" s="125" t="s">
        <v>12</v>
      </c>
      <c r="D6" s="151"/>
      <c r="E6" s="5"/>
      <c r="F6" s="1"/>
      <c r="G6" s="1"/>
      <c r="H6" s="1"/>
      <c r="I6" s="1"/>
      <c r="J6" s="1"/>
      <c r="K6" s="1"/>
      <c r="L6" s="1"/>
      <c r="M6" s="1"/>
      <c r="N6" s="1"/>
      <c r="O6" s="1"/>
      <c r="P6" s="10"/>
    </row>
    <row r="7" spans="1:16" x14ac:dyDescent="0.3">
      <c r="A7" s="124"/>
      <c r="B7" s="125"/>
      <c r="C7" s="125" t="s">
        <v>439</v>
      </c>
      <c r="D7" s="151"/>
      <c r="E7" s="5"/>
      <c r="F7" s="1"/>
      <c r="G7" s="1"/>
      <c r="H7" s="1"/>
      <c r="I7" s="1"/>
      <c r="J7" s="1"/>
      <c r="K7" s="1"/>
      <c r="L7" s="1"/>
      <c r="M7" s="1"/>
      <c r="N7" s="1"/>
      <c r="O7" s="1"/>
      <c r="P7" s="10"/>
    </row>
    <row r="8" spans="1:16" x14ac:dyDescent="0.3">
      <c r="A8" s="124"/>
      <c r="B8" s="125"/>
      <c r="C8" s="125" t="s">
        <v>440</v>
      </c>
      <c r="D8" s="151"/>
      <c r="E8" s="5"/>
      <c r="F8" s="1"/>
      <c r="G8" s="1"/>
      <c r="H8" s="1"/>
      <c r="I8" s="1"/>
      <c r="J8" s="1"/>
      <c r="K8" s="1"/>
      <c r="L8" s="1"/>
      <c r="M8" s="1"/>
      <c r="N8" s="1"/>
      <c r="O8" s="1"/>
      <c r="P8" s="10"/>
    </row>
    <row r="9" spans="1:16" x14ac:dyDescent="0.3">
      <c r="A9" s="124"/>
      <c r="B9" s="125"/>
      <c r="C9" s="125" t="s">
        <v>441</v>
      </c>
      <c r="D9" s="151"/>
      <c r="E9" s="5"/>
      <c r="F9" s="1"/>
      <c r="G9" s="1"/>
      <c r="H9" s="1"/>
      <c r="I9" s="1"/>
      <c r="J9" s="1"/>
      <c r="K9" s="1"/>
      <c r="L9" s="1"/>
      <c r="M9" s="1"/>
      <c r="N9" s="1"/>
      <c r="O9" s="1"/>
      <c r="P9" s="10"/>
    </row>
    <row r="10" spans="1:16" x14ac:dyDescent="0.3">
      <c r="A10" s="124"/>
      <c r="B10" s="125" t="s">
        <v>442</v>
      </c>
      <c r="C10" s="125"/>
      <c r="D10" s="151"/>
      <c r="E10" s="5">
        <v>1</v>
      </c>
      <c r="F10" s="1">
        <v>1</v>
      </c>
      <c r="G10" s="1">
        <v>1</v>
      </c>
      <c r="H10" s="1">
        <v>2</v>
      </c>
      <c r="I10" s="1">
        <v>2</v>
      </c>
      <c r="J10" s="1">
        <v>2</v>
      </c>
      <c r="K10" s="1">
        <v>1</v>
      </c>
      <c r="L10" s="1">
        <v>2</v>
      </c>
      <c r="M10" s="1">
        <v>2</v>
      </c>
      <c r="N10" s="1">
        <v>3</v>
      </c>
      <c r="O10" s="1">
        <v>2</v>
      </c>
      <c r="P10" s="10">
        <v>3</v>
      </c>
    </row>
    <row r="11" spans="1:16" x14ac:dyDescent="0.3">
      <c r="A11" s="124"/>
      <c r="B11" s="125"/>
      <c r="C11" s="125" t="s">
        <v>443</v>
      </c>
      <c r="D11" s="151"/>
      <c r="E11" s="5"/>
      <c r="F11" s="1"/>
      <c r="G11" s="1"/>
      <c r="H11" s="1"/>
      <c r="I11" s="1"/>
      <c r="J11" s="1"/>
      <c r="K11" s="1"/>
      <c r="L11" s="1"/>
      <c r="M11" s="1"/>
      <c r="N11" s="1"/>
      <c r="O11" s="1"/>
      <c r="P11" s="10"/>
    </row>
    <row r="12" spans="1:16" x14ac:dyDescent="0.3">
      <c r="A12" s="124"/>
      <c r="B12" s="125"/>
      <c r="C12" s="125" t="s">
        <v>444</v>
      </c>
      <c r="D12" s="151"/>
      <c r="E12" s="5"/>
      <c r="F12" s="1"/>
      <c r="G12" s="1"/>
      <c r="H12" s="1"/>
      <c r="I12" s="1"/>
      <c r="J12" s="1"/>
      <c r="K12" s="1"/>
      <c r="L12" s="1"/>
      <c r="M12" s="1"/>
      <c r="N12" s="1"/>
      <c r="O12" s="1"/>
      <c r="P12" s="10"/>
    </row>
    <row r="13" spans="1:16" x14ac:dyDescent="0.3">
      <c r="A13" s="124"/>
      <c r="B13" s="125" t="s">
        <v>445</v>
      </c>
      <c r="C13" s="125"/>
      <c r="D13" s="151"/>
      <c r="E13" s="5"/>
      <c r="F13" s="1"/>
      <c r="G13" s="1"/>
      <c r="H13" s="1"/>
      <c r="I13" s="1"/>
      <c r="J13" s="1"/>
      <c r="K13" s="1"/>
      <c r="L13" s="1"/>
      <c r="M13" s="1"/>
      <c r="N13" s="1"/>
      <c r="O13" s="1"/>
      <c r="P13" s="10"/>
    </row>
    <row r="14" spans="1:16" x14ac:dyDescent="0.3">
      <c r="A14" s="124"/>
      <c r="B14" s="125"/>
      <c r="C14" s="125" t="s">
        <v>446</v>
      </c>
      <c r="D14" s="151"/>
      <c r="E14" s="5">
        <v>1</v>
      </c>
      <c r="F14" s="1">
        <v>1</v>
      </c>
      <c r="G14" s="1">
        <v>1</v>
      </c>
      <c r="H14" s="1">
        <v>2</v>
      </c>
      <c r="I14" s="1">
        <v>2</v>
      </c>
      <c r="J14" s="1">
        <v>2</v>
      </c>
      <c r="K14" s="1">
        <v>1</v>
      </c>
      <c r="L14" s="1">
        <v>2</v>
      </c>
      <c r="M14" s="1">
        <v>2</v>
      </c>
      <c r="N14" s="1">
        <v>3</v>
      </c>
      <c r="O14" s="1">
        <v>2</v>
      </c>
      <c r="P14" s="10">
        <v>4</v>
      </c>
    </row>
    <row r="15" spans="1:16" x14ac:dyDescent="0.3">
      <c r="A15" s="124"/>
      <c r="B15" s="125"/>
      <c r="C15" s="125" t="s">
        <v>447</v>
      </c>
      <c r="D15" s="151"/>
      <c r="E15" s="5">
        <v>2</v>
      </c>
      <c r="F15" s="1">
        <v>2</v>
      </c>
      <c r="G15" s="1">
        <v>2</v>
      </c>
      <c r="H15" s="1">
        <v>3</v>
      </c>
      <c r="I15" s="1">
        <v>5</v>
      </c>
      <c r="J15" s="1">
        <v>5</v>
      </c>
      <c r="K15" s="1">
        <v>1</v>
      </c>
      <c r="L15" s="1">
        <v>3</v>
      </c>
      <c r="M15" s="1">
        <v>1</v>
      </c>
      <c r="N15" s="1">
        <v>3</v>
      </c>
      <c r="O15" s="1">
        <v>2</v>
      </c>
      <c r="P15" s="10">
        <v>3</v>
      </c>
    </row>
    <row r="16" spans="1:16" x14ac:dyDescent="0.3">
      <c r="A16" s="124"/>
      <c r="B16" s="125"/>
      <c r="C16" s="125"/>
      <c r="D16" s="151" t="s">
        <v>16</v>
      </c>
      <c r="E16" s="5"/>
      <c r="F16" s="1"/>
      <c r="G16" s="1"/>
      <c r="H16" s="1"/>
      <c r="I16" s="1"/>
      <c r="J16" s="1"/>
      <c r="K16" s="1"/>
      <c r="L16" s="1"/>
      <c r="M16" s="1"/>
      <c r="N16" s="1"/>
      <c r="O16" s="1"/>
      <c r="P16" s="10"/>
    </row>
    <row r="17" spans="1:16" x14ac:dyDescent="0.3">
      <c r="A17" s="124"/>
      <c r="B17" s="125"/>
      <c r="C17" s="125"/>
      <c r="D17" s="151" t="s">
        <v>444</v>
      </c>
      <c r="E17" s="5"/>
      <c r="F17" s="1"/>
      <c r="G17" s="1"/>
      <c r="H17" s="1"/>
      <c r="I17" s="1"/>
      <c r="J17" s="1"/>
      <c r="K17" s="1"/>
      <c r="L17" s="1"/>
      <c r="M17" s="1"/>
      <c r="N17" s="1"/>
      <c r="O17" s="1"/>
      <c r="P17" s="10"/>
    </row>
    <row r="18" spans="1:16" x14ac:dyDescent="0.3">
      <c r="A18" s="124"/>
      <c r="B18" s="125"/>
      <c r="C18" s="125"/>
      <c r="D18" s="151" t="s">
        <v>448</v>
      </c>
      <c r="E18" s="5"/>
      <c r="F18" s="1"/>
      <c r="G18" s="1"/>
      <c r="H18" s="1"/>
      <c r="I18" s="1"/>
      <c r="J18" s="1"/>
      <c r="K18" s="1"/>
      <c r="L18" s="1"/>
      <c r="M18" s="1"/>
      <c r="N18" s="1"/>
      <c r="O18" s="1"/>
      <c r="P18" s="10"/>
    </row>
    <row r="19" spans="1:16" x14ac:dyDescent="0.3">
      <c r="A19" s="124"/>
      <c r="B19" s="125"/>
      <c r="C19" s="125"/>
      <c r="D19" s="151" t="s">
        <v>449</v>
      </c>
      <c r="E19" s="5"/>
      <c r="F19" s="1"/>
      <c r="G19" s="1"/>
      <c r="H19" s="1"/>
      <c r="I19" s="1"/>
      <c r="J19" s="1"/>
      <c r="K19" s="1"/>
      <c r="L19" s="1"/>
      <c r="M19" s="1"/>
      <c r="N19" s="1"/>
      <c r="O19" s="1"/>
      <c r="P19" s="10"/>
    </row>
    <row r="20" spans="1:16" x14ac:dyDescent="0.3">
      <c r="A20" s="124"/>
      <c r="B20" s="125"/>
      <c r="C20" s="125"/>
      <c r="D20" s="151" t="s">
        <v>450</v>
      </c>
      <c r="E20" s="5"/>
      <c r="F20" s="1"/>
      <c r="G20" s="1"/>
      <c r="H20" s="1"/>
      <c r="I20" s="1"/>
      <c r="J20" s="1"/>
      <c r="K20" s="1"/>
      <c r="L20" s="1"/>
      <c r="M20" s="1"/>
      <c r="N20" s="1"/>
      <c r="O20" s="1"/>
      <c r="P20" s="10"/>
    </row>
    <row r="21" spans="1:16" x14ac:dyDescent="0.3">
      <c r="A21" s="124"/>
      <c r="B21" s="125"/>
      <c r="C21" s="125"/>
      <c r="D21" s="151" t="s">
        <v>451</v>
      </c>
      <c r="E21" s="5"/>
      <c r="F21" s="1"/>
      <c r="G21" s="1"/>
      <c r="H21" s="1"/>
      <c r="I21" s="1"/>
      <c r="J21" s="1"/>
      <c r="K21" s="1"/>
      <c r="L21" s="1"/>
      <c r="M21" s="1"/>
      <c r="N21" s="1"/>
      <c r="O21" s="1"/>
      <c r="P21" s="10"/>
    </row>
    <row r="22" spans="1:16" x14ac:dyDescent="0.3">
      <c r="A22" s="124"/>
      <c r="B22" s="125"/>
      <c r="C22" s="125"/>
      <c r="D22" s="151" t="s">
        <v>452</v>
      </c>
      <c r="E22" s="5"/>
      <c r="F22" s="1"/>
      <c r="G22" s="1"/>
      <c r="H22" s="1"/>
      <c r="I22" s="1"/>
      <c r="J22" s="1"/>
      <c r="K22" s="1"/>
      <c r="L22" s="1"/>
      <c r="M22" s="1"/>
      <c r="N22" s="1"/>
      <c r="O22" s="1"/>
      <c r="P22" s="10"/>
    </row>
    <row r="23" spans="1:16" x14ac:dyDescent="0.3">
      <c r="A23" s="124"/>
      <c r="B23" s="125"/>
      <c r="C23" s="125"/>
      <c r="D23" s="151" t="s">
        <v>444</v>
      </c>
      <c r="E23" s="5"/>
      <c r="F23" s="1"/>
      <c r="G23" s="1"/>
      <c r="H23" s="1"/>
      <c r="I23" s="1"/>
      <c r="J23" s="1"/>
      <c r="K23" s="1"/>
      <c r="L23" s="1"/>
      <c r="M23" s="1"/>
      <c r="N23" s="1"/>
      <c r="O23" s="1"/>
      <c r="P23" s="10"/>
    </row>
    <row r="24" spans="1:16" x14ac:dyDescent="0.3">
      <c r="A24" s="124"/>
      <c r="B24" s="125"/>
      <c r="C24" s="125"/>
      <c r="D24" s="151" t="s">
        <v>453</v>
      </c>
      <c r="E24" s="5"/>
      <c r="F24" s="1"/>
      <c r="G24" s="1"/>
      <c r="H24" s="1"/>
      <c r="I24" s="1"/>
      <c r="J24" s="1"/>
      <c r="K24" s="1"/>
      <c r="L24" s="1"/>
      <c r="M24" s="1"/>
      <c r="N24" s="1"/>
      <c r="O24" s="1"/>
      <c r="P24" s="10"/>
    </row>
    <row r="25" spans="1:16" x14ac:dyDescent="0.3">
      <c r="A25" s="124"/>
      <c r="B25" s="125"/>
      <c r="C25" s="125" t="s">
        <v>454</v>
      </c>
      <c r="D25" s="151"/>
      <c r="E25" s="5">
        <v>2</v>
      </c>
      <c r="F25" s="1">
        <v>2</v>
      </c>
      <c r="G25" s="1">
        <v>2</v>
      </c>
      <c r="H25" s="1">
        <v>3</v>
      </c>
      <c r="I25" s="1">
        <v>5</v>
      </c>
      <c r="J25" s="1">
        <v>5</v>
      </c>
      <c r="K25" s="1">
        <v>1</v>
      </c>
      <c r="L25" s="1">
        <v>3</v>
      </c>
      <c r="M25" s="1">
        <v>1</v>
      </c>
      <c r="N25" s="1">
        <v>3</v>
      </c>
      <c r="O25" s="1">
        <v>2</v>
      </c>
      <c r="P25" s="10">
        <v>3</v>
      </c>
    </row>
    <row r="26" spans="1:16" x14ac:dyDescent="0.3">
      <c r="A26" s="124"/>
      <c r="B26" s="125"/>
      <c r="C26" s="125"/>
      <c r="D26" s="151" t="s">
        <v>455</v>
      </c>
      <c r="E26" s="5"/>
      <c r="F26" s="1"/>
      <c r="G26" s="1"/>
      <c r="H26" s="1"/>
      <c r="I26" s="1"/>
      <c r="J26" s="1"/>
      <c r="K26" s="1"/>
      <c r="L26" s="1"/>
      <c r="M26" s="1"/>
      <c r="N26" s="1"/>
      <c r="O26" s="1"/>
      <c r="P26" s="10"/>
    </row>
    <row r="27" spans="1:16" x14ac:dyDescent="0.3">
      <c r="A27" s="124"/>
      <c r="B27" s="125"/>
      <c r="C27" s="125"/>
      <c r="D27" s="151" t="s">
        <v>456</v>
      </c>
      <c r="E27" s="5"/>
      <c r="F27" s="1"/>
      <c r="G27" s="1"/>
      <c r="H27" s="1"/>
      <c r="I27" s="1"/>
      <c r="J27" s="1"/>
      <c r="K27" s="1"/>
      <c r="L27" s="1"/>
      <c r="M27" s="1"/>
      <c r="N27" s="1"/>
      <c r="O27" s="1"/>
      <c r="P27" s="10"/>
    </row>
    <row r="28" spans="1:16" x14ac:dyDescent="0.3">
      <c r="A28" s="124"/>
      <c r="B28" s="125"/>
      <c r="C28" s="125"/>
      <c r="D28" s="151" t="s">
        <v>453</v>
      </c>
      <c r="E28" s="5"/>
      <c r="F28" s="1"/>
      <c r="G28" s="1"/>
      <c r="H28" s="1"/>
      <c r="I28" s="1"/>
      <c r="J28" s="1"/>
      <c r="K28" s="1"/>
      <c r="L28" s="1"/>
      <c r="M28" s="1"/>
      <c r="N28" s="1"/>
      <c r="O28" s="1"/>
      <c r="P28" s="10"/>
    </row>
    <row r="29" spans="1:16" x14ac:dyDescent="0.3">
      <c r="A29" s="124"/>
      <c r="B29" s="125"/>
      <c r="C29" s="125"/>
      <c r="D29" s="151" t="s">
        <v>444</v>
      </c>
      <c r="E29" s="5"/>
      <c r="F29" s="1"/>
      <c r="G29" s="1"/>
      <c r="H29" s="1"/>
      <c r="I29" s="1"/>
      <c r="J29" s="1"/>
      <c r="K29" s="1"/>
      <c r="L29" s="1"/>
      <c r="M29" s="1"/>
      <c r="N29" s="1"/>
      <c r="O29" s="1"/>
      <c r="P29" s="10"/>
    </row>
    <row r="30" spans="1:16" x14ac:dyDescent="0.3">
      <c r="A30" s="124"/>
      <c r="B30" s="125"/>
      <c r="C30" s="125" t="s">
        <v>457</v>
      </c>
      <c r="D30" s="151"/>
      <c r="E30" s="5"/>
      <c r="F30" s="1"/>
      <c r="G30" s="1"/>
      <c r="H30" s="1"/>
      <c r="I30" s="1"/>
      <c r="J30" s="1"/>
      <c r="K30" s="1"/>
      <c r="L30" s="1"/>
      <c r="M30" s="1"/>
      <c r="N30" s="1"/>
      <c r="O30" s="1"/>
      <c r="P30" s="10"/>
    </row>
    <row r="31" spans="1:16" x14ac:dyDescent="0.3">
      <c r="A31" s="124"/>
      <c r="B31" s="125"/>
      <c r="C31" s="126" t="s">
        <v>458</v>
      </c>
      <c r="D31" s="151"/>
      <c r="E31" s="5">
        <v>2</v>
      </c>
      <c r="F31" s="1">
        <v>2</v>
      </c>
      <c r="G31" s="1">
        <v>2</v>
      </c>
      <c r="H31" s="1">
        <v>3</v>
      </c>
      <c r="I31" s="1">
        <v>5</v>
      </c>
      <c r="J31" s="1">
        <v>5</v>
      </c>
      <c r="K31" s="1">
        <v>1</v>
      </c>
      <c r="L31" s="1">
        <v>3</v>
      </c>
      <c r="M31" s="1">
        <v>1</v>
      </c>
      <c r="N31" s="1">
        <v>3</v>
      </c>
      <c r="O31" s="1">
        <v>2</v>
      </c>
      <c r="P31" s="10">
        <v>3</v>
      </c>
    </row>
    <row r="32" spans="1:16" x14ac:dyDescent="0.3">
      <c r="A32" s="124"/>
      <c r="B32" s="125"/>
      <c r="C32" s="126"/>
      <c r="D32" s="151" t="s">
        <v>444</v>
      </c>
      <c r="E32" s="5"/>
      <c r="F32" s="1"/>
      <c r="G32" s="1"/>
      <c r="H32" s="1"/>
      <c r="I32" s="1"/>
      <c r="J32" s="1"/>
      <c r="K32" s="1"/>
      <c r="L32" s="1"/>
      <c r="M32" s="1"/>
      <c r="N32" s="1"/>
      <c r="O32" s="1"/>
      <c r="P32" s="10"/>
    </row>
    <row r="33" spans="1:16" x14ac:dyDescent="0.3">
      <c r="A33" s="124"/>
      <c r="B33" s="125"/>
      <c r="C33" s="125"/>
      <c r="D33" s="151" t="s">
        <v>459</v>
      </c>
      <c r="E33" s="5"/>
      <c r="F33" s="1"/>
      <c r="G33" s="1"/>
      <c r="H33" s="1"/>
      <c r="I33" s="1"/>
      <c r="J33" s="1"/>
      <c r="K33" s="1"/>
      <c r="L33" s="1"/>
      <c r="M33" s="1"/>
      <c r="N33" s="1"/>
      <c r="O33" s="1"/>
      <c r="P33" s="10"/>
    </row>
    <row r="34" spans="1:16" x14ac:dyDescent="0.3">
      <c r="A34" s="124"/>
      <c r="B34" s="125"/>
      <c r="C34" s="125"/>
      <c r="D34" s="151" t="s">
        <v>460</v>
      </c>
      <c r="E34" s="5"/>
      <c r="F34" s="1"/>
      <c r="G34" s="1"/>
      <c r="H34" s="1"/>
      <c r="I34" s="1"/>
      <c r="J34" s="1"/>
      <c r="K34" s="1"/>
      <c r="L34" s="1"/>
      <c r="M34" s="1"/>
      <c r="N34" s="1"/>
      <c r="O34" s="1"/>
      <c r="P34" s="10"/>
    </row>
    <row r="35" spans="1:16" x14ac:dyDescent="0.3">
      <c r="A35" s="124"/>
      <c r="B35" s="125"/>
      <c r="C35" s="125"/>
      <c r="D35" s="151" t="s">
        <v>461</v>
      </c>
      <c r="E35" s="5"/>
      <c r="F35" s="1"/>
      <c r="G35" s="1"/>
      <c r="H35" s="1"/>
      <c r="I35" s="1"/>
      <c r="J35" s="1"/>
      <c r="K35" s="1"/>
      <c r="L35" s="1"/>
      <c r="M35" s="1"/>
      <c r="N35" s="1"/>
      <c r="O35" s="1"/>
      <c r="P35" s="10"/>
    </row>
    <row r="36" spans="1:16" x14ac:dyDescent="0.3">
      <c r="A36" s="124"/>
      <c r="B36" s="125"/>
      <c r="C36" s="125"/>
      <c r="D36" s="151" t="s">
        <v>456</v>
      </c>
      <c r="E36" s="5"/>
      <c r="F36" s="1"/>
      <c r="G36" s="1"/>
      <c r="H36" s="1"/>
      <c r="I36" s="1"/>
      <c r="J36" s="1"/>
      <c r="K36" s="1"/>
      <c r="L36" s="1"/>
      <c r="M36" s="1"/>
      <c r="N36" s="1"/>
      <c r="O36" s="1"/>
      <c r="P36" s="10"/>
    </row>
    <row r="37" spans="1:16" x14ac:dyDescent="0.3">
      <c r="A37" s="124"/>
      <c r="B37" s="125"/>
      <c r="C37" s="125"/>
      <c r="D37" s="151"/>
      <c r="E37" s="5"/>
      <c r="F37" s="1"/>
      <c r="G37" s="1"/>
      <c r="H37" s="1"/>
      <c r="I37" s="1"/>
      <c r="J37" s="1"/>
      <c r="K37" s="1"/>
      <c r="L37" s="1"/>
      <c r="M37" s="1"/>
      <c r="N37" s="1"/>
      <c r="O37" s="1"/>
      <c r="P37" s="10"/>
    </row>
    <row r="38" spans="1:16" x14ac:dyDescent="0.3">
      <c r="A38" s="124"/>
      <c r="B38" s="125"/>
      <c r="C38" s="126" t="s">
        <v>462</v>
      </c>
      <c r="D38" s="151"/>
      <c r="E38" s="5">
        <v>1</v>
      </c>
      <c r="F38" s="1">
        <v>1</v>
      </c>
      <c r="G38" s="1">
        <v>1</v>
      </c>
      <c r="H38" s="1">
        <v>2</v>
      </c>
      <c r="I38" s="1">
        <v>2</v>
      </c>
      <c r="J38" s="1">
        <v>2</v>
      </c>
      <c r="K38" s="1">
        <v>1</v>
      </c>
      <c r="L38" s="1">
        <v>2</v>
      </c>
      <c r="M38" s="1">
        <v>2</v>
      </c>
      <c r="N38" s="1">
        <v>3</v>
      </c>
      <c r="O38" s="1">
        <v>2</v>
      </c>
      <c r="P38" s="10">
        <v>3</v>
      </c>
    </row>
    <row r="39" spans="1:16" x14ac:dyDescent="0.3">
      <c r="A39" s="124"/>
      <c r="B39" s="125"/>
      <c r="C39" s="126"/>
      <c r="D39" s="151" t="s">
        <v>444</v>
      </c>
      <c r="E39" s="5"/>
      <c r="F39" s="1"/>
      <c r="G39" s="1"/>
      <c r="H39" s="1"/>
      <c r="I39" s="1"/>
      <c r="J39" s="1"/>
      <c r="K39" s="1"/>
      <c r="L39" s="1"/>
      <c r="M39" s="1"/>
      <c r="N39" s="1"/>
      <c r="O39" s="1"/>
      <c r="P39" s="10"/>
    </row>
    <row r="40" spans="1:16" x14ac:dyDescent="0.3">
      <c r="A40" s="124"/>
      <c r="B40" s="125" t="s">
        <v>18</v>
      </c>
      <c r="C40" s="125"/>
      <c r="D40" s="151"/>
      <c r="E40" s="5">
        <v>3</v>
      </c>
      <c r="F40" s="1">
        <v>3</v>
      </c>
      <c r="G40" s="1">
        <v>3</v>
      </c>
      <c r="H40" s="1">
        <v>4</v>
      </c>
      <c r="I40" s="1">
        <v>8</v>
      </c>
      <c r="J40" s="1">
        <v>8</v>
      </c>
      <c r="K40" s="1">
        <v>3</v>
      </c>
      <c r="L40" s="1">
        <v>5</v>
      </c>
      <c r="M40" s="1">
        <v>3</v>
      </c>
      <c r="N40" s="1">
        <v>5</v>
      </c>
      <c r="O40" s="1">
        <v>3</v>
      </c>
      <c r="P40" s="10">
        <v>5</v>
      </c>
    </row>
    <row r="41" spans="1:16" x14ac:dyDescent="0.3">
      <c r="A41" s="124"/>
      <c r="B41" s="125"/>
      <c r="C41" s="125" t="s">
        <v>444</v>
      </c>
      <c r="D41" s="151"/>
      <c r="E41" s="5"/>
      <c r="F41" s="1"/>
      <c r="G41" s="1"/>
      <c r="H41" s="1"/>
      <c r="I41" s="1"/>
      <c r="J41" s="1"/>
      <c r="K41" s="1"/>
      <c r="L41" s="1"/>
      <c r="M41" s="1"/>
      <c r="N41" s="1"/>
      <c r="O41" s="1"/>
      <c r="P41" s="10"/>
    </row>
    <row r="42" spans="1:16" x14ac:dyDescent="0.3">
      <c r="A42" s="124"/>
      <c r="B42" s="125"/>
      <c r="C42" s="126" t="s">
        <v>18</v>
      </c>
      <c r="D42" s="151"/>
      <c r="E42" s="5"/>
      <c r="F42" s="1"/>
      <c r="G42" s="1"/>
      <c r="H42" s="1"/>
      <c r="I42" s="1"/>
      <c r="J42" s="1"/>
      <c r="K42" s="1"/>
      <c r="L42" s="1"/>
      <c r="M42" s="1"/>
      <c r="N42" s="1"/>
      <c r="O42" s="1"/>
      <c r="P42" s="10"/>
    </row>
    <row r="43" spans="1:16" x14ac:dyDescent="0.3">
      <c r="A43" s="124"/>
      <c r="B43" s="125"/>
      <c r="C43" s="126"/>
      <c r="D43" s="151" t="s">
        <v>463</v>
      </c>
      <c r="E43" s="5"/>
      <c r="F43" s="1"/>
      <c r="G43" s="1"/>
      <c r="H43" s="1"/>
      <c r="I43" s="1"/>
      <c r="J43" s="1"/>
      <c r="K43" s="1"/>
      <c r="L43" s="1"/>
      <c r="M43" s="1"/>
      <c r="N43" s="1"/>
      <c r="O43" s="1"/>
      <c r="P43" s="10"/>
    </row>
    <row r="44" spans="1:16" x14ac:dyDescent="0.3">
      <c r="A44" s="124"/>
      <c r="B44" s="125"/>
      <c r="C44" s="126" t="s">
        <v>464</v>
      </c>
      <c r="D44" s="151"/>
      <c r="E44" s="5"/>
      <c r="F44" s="1"/>
      <c r="G44" s="1"/>
      <c r="H44" s="1"/>
      <c r="I44" s="1"/>
      <c r="J44" s="1"/>
      <c r="K44" s="1"/>
      <c r="L44" s="1"/>
      <c r="M44" s="1"/>
      <c r="N44" s="1"/>
      <c r="O44" s="1"/>
      <c r="P44" s="10"/>
    </row>
    <row r="45" spans="1:16" x14ac:dyDescent="0.3">
      <c r="A45" s="124"/>
      <c r="B45" s="125"/>
      <c r="C45" s="126"/>
      <c r="D45" s="151" t="s">
        <v>465</v>
      </c>
      <c r="E45" s="5"/>
      <c r="F45" s="1"/>
      <c r="G45" s="1"/>
      <c r="H45" s="1"/>
      <c r="I45" s="1"/>
      <c r="J45" s="1"/>
      <c r="K45" s="1"/>
      <c r="L45" s="1"/>
      <c r="M45" s="1"/>
      <c r="N45" s="1"/>
      <c r="O45" s="1"/>
      <c r="P45" s="10"/>
    </row>
    <row r="46" spans="1:16" x14ac:dyDescent="0.3">
      <c r="A46" s="124"/>
      <c r="B46" s="125"/>
      <c r="C46" s="126" t="s">
        <v>466</v>
      </c>
      <c r="D46" s="151" t="s">
        <v>467</v>
      </c>
      <c r="E46" s="5"/>
      <c r="F46" s="1"/>
      <c r="G46" s="1"/>
      <c r="H46" s="1"/>
      <c r="I46" s="1"/>
      <c r="J46" s="1"/>
      <c r="K46" s="1"/>
      <c r="L46" s="1"/>
      <c r="M46" s="1"/>
      <c r="N46" s="1"/>
      <c r="O46" s="1"/>
      <c r="P46" s="10"/>
    </row>
    <row r="47" spans="1:16" x14ac:dyDescent="0.3">
      <c r="A47" s="124"/>
      <c r="B47" s="125" t="s">
        <v>468</v>
      </c>
      <c r="C47" s="125"/>
      <c r="D47" s="151"/>
      <c r="E47" s="5"/>
      <c r="F47" s="1"/>
      <c r="G47" s="1"/>
      <c r="H47" s="1"/>
      <c r="I47" s="1"/>
      <c r="J47" s="1"/>
      <c r="K47" s="1"/>
      <c r="L47" s="1"/>
      <c r="M47" s="1"/>
      <c r="N47" s="1"/>
      <c r="O47" s="1"/>
      <c r="P47" s="10"/>
    </row>
    <row r="48" spans="1:16" x14ac:dyDescent="0.3">
      <c r="A48" s="124"/>
      <c r="B48" s="125"/>
      <c r="C48" s="125" t="s">
        <v>469</v>
      </c>
      <c r="D48" s="151"/>
      <c r="E48" s="5">
        <v>1</v>
      </c>
      <c r="F48" s="1">
        <v>1</v>
      </c>
      <c r="G48" s="1">
        <v>1</v>
      </c>
      <c r="H48" s="1">
        <v>2</v>
      </c>
      <c r="I48" s="1">
        <v>2</v>
      </c>
      <c r="J48" s="1">
        <v>2</v>
      </c>
      <c r="K48" s="1">
        <v>1</v>
      </c>
      <c r="L48" s="1">
        <v>2</v>
      </c>
      <c r="M48" s="1">
        <v>1</v>
      </c>
      <c r="N48" s="1">
        <v>2</v>
      </c>
      <c r="O48" s="1">
        <v>1</v>
      </c>
      <c r="P48" s="10">
        <v>2</v>
      </c>
    </row>
    <row r="49" spans="1:16" x14ac:dyDescent="0.3">
      <c r="A49" s="124"/>
      <c r="B49" s="125"/>
      <c r="C49" s="125"/>
      <c r="D49" s="151" t="s">
        <v>444</v>
      </c>
      <c r="E49" s="5"/>
      <c r="F49" s="1"/>
      <c r="G49" s="1"/>
      <c r="H49" s="1"/>
      <c r="I49" s="1"/>
      <c r="J49" s="1"/>
      <c r="K49" s="1"/>
      <c r="L49" s="1"/>
      <c r="M49" s="1"/>
      <c r="N49" s="1"/>
      <c r="O49" s="1"/>
      <c r="P49" s="10"/>
    </row>
    <row r="50" spans="1:16" x14ac:dyDescent="0.3">
      <c r="A50" s="124"/>
      <c r="B50" s="125"/>
      <c r="C50" s="125"/>
      <c r="D50" s="151" t="s">
        <v>470</v>
      </c>
      <c r="E50" s="5"/>
      <c r="F50" s="1"/>
      <c r="G50" s="1"/>
      <c r="H50" s="1"/>
      <c r="I50" s="1"/>
      <c r="J50" s="1"/>
      <c r="K50" s="1"/>
      <c r="L50" s="1"/>
      <c r="M50" s="1"/>
      <c r="N50" s="1"/>
      <c r="O50" s="1"/>
      <c r="P50" s="10"/>
    </row>
    <row r="51" spans="1:16" x14ac:dyDescent="0.3">
      <c r="A51" s="124"/>
      <c r="B51" s="125"/>
      <c r="C51" s="125"/>
      <c r="D51" s="151"/>
      <c r="E51" s="5"/>
      <c r="F51" s="1"/>
      <c r="G51" s="1"/>
      <c r="H51" s="1"/>
      <c r="I51" s="1"/>
      <c r="J51" s="1"/>
      <c r="K51" s="1"/>
      <c r="L51" s="1"/>
      <c r="M51" s="1"/>
      <c r="N51" s="1"/>
      <c r="O51" s="1"/>
      <c r="P51" s="10"/>
    </row>
    <row r="52" spans="1:16" x14ac:dyDescent="0.3">
      <c r="A52" s="124"/>
      <c r="B52" s="125"/>
      <c r="C52" s="126" t="s">
        <v>462</v>
      </c>
      <c r="D52" s="151"/>
      <c r="E52" s="5">
        <v>1</v>
      </c>
      <c r="F52" s="1">
        <v>1</v>
      </c>
      <c r="G52" s="1">
        <v>1</v>
      </c>
      <c r="H52" s="1">
        <v>2</v>
      </c>
      <c r="I52" s="1">
        <v>2</v>
      </c>
      <c r="J52" s="1">
        <v>2</v>
      </c>
      <c r="K52" s="1">
        <v>1</v>
      </c>
      <c r="L52" s="1">
        <v>2</v>
      </c>
      <c r="M52" s="1">
        <v>1</v>
      </c>
      <c r="N52" s="1">
        <v>2</v>
      </c>
      <c r="O52" s="1">
        <v>1</v>
      </c>
      <c r="P52" s="10">
        <v>1</v>
      </c>
    </row>
    <row r="53" spans="1:16" x14ac:dyDescent="0.3">
      <c r="A53" s="124"/>
      <c r="B53" s="125"/>
      <c r="C53" s="126"/>
      <c r="D53" s="151" t="s">
        <v>444</v>
      </c>
      <c r="E53" s="5"/>
      <c r="F53" s="1"/>
      <c r="G53" s="1"/>
      <c r="H53" s="1"/>
      <c r="I53" s="1"/>
      <c r="J53" s="1"/>
      <c r="K53" s="1"/>
      <c r="L53" s="1"/>
      <c r="M53" s="1"/>
      <c r="N53" s="1"/>
      <c r="O53" s="1"/>
      <c r="P53" s="10"/>
    </row>
    <row r="54" spans="1:16" x14ac:dyDescent="0.3">
      <c r="A54" s="124"/>
      <c r="B54" s="125"/>
      <c r="C54" s="126"/>
      <c r="D54" s="151" t="s">
        <v>470</v>
      </c>
      <c r="E54" s="5"/>
      <c r="F54" s="1"/>
      <c r="G54" s="1"/>
      <c r="H54" s="1"/>
      <c r="I54" s="1"/>
      <c r="J54" s="1"/>
      <c r="K54" s="1"/>
      <c r="L54" s="1"/>
      <c r="M54" s="1"/>
      <c r="N54" s="1"/>
      <c r="O54" s="1"/>
      <c r="P54" s="10"/>
    </row>
    <row r="55" spans="1:16" x14ac:dyDescent="0.3">
      <c r="A55" s="124"/>
      <c r="B55" s="125"/>
      <c r="C55" s="126"/>
      <c r="D55" s="164" t="s">
        <v>471</v>
      </c>
      <c r="E55" s="5"/>
      <c r="F55" s="1"/>
      <c r="G55" s="1"/>
      <c r="H55" s="1"/>
      <c r="I55" s="1"/>
      <c r="J55" s="1"/>
      <c r="K55" s="1"/>
      <c r="L55" s="1"/>
      <c r="M55" s="1"/>
      <c r="N55" s="1"/>
      <c r="O55" s="1"/>
      <c r="P55" s="10"/>
    </row>
    <row r="56" spans="1:16" x14ac:dyDescent="0.3">
      <c r="A56" s="124"/>
      <c r="B56" s="125"/>
      <c r="C56" s="126"/>
      <c r="D56" s="164" t="s">
        <v>472</v>
      </c>
      <c r="E56" s="5"/>
      <c r="F56" s="1"/>
      <c r="G56" s="1"/>
      <c r="H56" s="1"/>
      <c r="I56" s="1"/>
      <c r="J56" s="1"/>
      <c r="K56" s="1"/>
      <c r="L56" s="1"/>
      <c r="M56" s="1"/>
      <c r="N56" s="1"/>
      <c r="O56" s="1"/>
      <c r="P56" s="10"/>
    </row>
    <row r="57" spans="1:16" x14ac:dyDescent="0.3">
      <c r="A57" s="124"/>
      <c r="B57" s="125"/>
      <c r="C57" s="126"/>
      <c r="D57" s="164" t="s">
        <v>444</v>
      </c>
      <c r="E57" s="5"/>
      <c r="F57" s="1"/>
      <c r="G57" s="1"/>
      <c r="H57" s="1"/>
      <c r="I57" s="1"/>
      <c r="J57" s="1"/>
      <c r="K57" s="1"/>
      <c r="L57" s="1"/>
      <c r="M57" s="1"/>
      <c r="N57" s="1"/>
      <c r="O57" s="1"/>
      <c r="P57" s="10"/>
    </row>
    <row r="58" spans="1:16" x14ac:dyDescent="0.3">
      <c r="A58" s="124"/>
      <c r="B58" s="125"/>
      <c r="C58" s="126"/>
      <c r="D58" s="164" t="s">
        <v>453</v>
      </c>
      <c r="E58" s="5"/>
      <c r="F58" s="1"/>
      <c r="G58" s="1"/>
      <c r="H58" s="1"/>
      <c r="I58" s="1"/>
      <c r="J58" s="1"/>
      <c r="K58" s="1"/>
      <c r="L58" s="1"/>
      <c r="M58" s="1"/>
      <c r="N58" s="1"/>
      <c r="O58" s="1"/>
      <c r="P58" s="10"/>
    </row>
    <row r="59" spans="1:16" x14ac:dyDescent="0.3">
      <c r="A59" s="124"/>
      <c r="B59" s="125"/>
      <c r="C59" s="126" t="s">
        <v>458</v>
      </c>
      <c r="D59" s="151"/>
      <c r="E59" s="5">
        <v>1</v>
      </c>
      <c r="F59" s="1">
        <v>1</v>
      </c>
      <c r="G59" s="1">
        <v>1</v>
      </c>
      <c r="H59" s="1">
        <v>2</v>
      </c>
      <c r="I59" s="1">
        <v>2</v>
      </c>
      <c r="J59" s="1">
        <v>2</v>
      </c>
      <c r="K59" s="1">
        <v>1</v>
      </c>
      <c r="L59" s="1">
        <v>2</v>
      </c>
      <c r="M59" s="1">
        <v>1</v>
      </c>
      <c r="N59" s="1">
        <v>2</v>
      </c>
      <c r="O59" s="1">
        <v>1</v>
      </c>
      <c r="P59" s="10">
        <v>1</v>
      </c>
    </row>
    <row r="60" spans="1:16" x14ac:dyDescent="0.3">
      <c r="A60" s="124"/>
      <c r="B60" s="125"/>
      <c r="C60" s="126"/>
      <c r="D60" s="151" t="s">
        <v>444</v>
      </c>
      <c r="E60" s="5"/>
      <c r="F60" s="1"/>
      <c r="G60" s="1"/>
      <c r="H60" s="1"/>
      <c r="I60" s="1"/>
      <c r="J60" s="1"/>
      <c r="K60" s="1"/>
      <c r="L60" s="1"/>
      <c r="M60" s="1"/>
      <c r="N60" s="1"/>
      <c r="O60" s="1"/>
      <c r="P60" s="10"/>
    </row>
    <row r="61" spans="1:16" x14ac:dyDescent="0.3">
      <c r="A61" s="124"/>
      <c r="B61" s="125"/>
      <c r="C61" s="126"/>
      <c r="D61" s="151" t="s">
        <v>470</v>
      </c>
      <c r="E61" s="5"/>
      <c r="F61" s="1"/>
      <c r="G61" s="1"/>
      <c r="H61" s="1"/>
      <c r="I61" s="1"/>
      <c r="J61" s="1"/>
      <c r="K61" s="1"/>
      <c r="L61" s="1"/>
      <c r="M61" s="1"/>
      <c r="N61" s="1"/>
      <c r="O61" s="1"/>
      <c r="P61" s="10"/>
    </row>
    <row r="62" spans="1:16" x14ac:dyDescent="0.3">
      <c r="A62" s="124"/>
      <c r="B62" s="125"/>
      <c r="C62" s="126"/>
      <c r="D62" s="164" t="s">
        <v>473</v>
      </c>
      <c r="E62" s="5"/>
      <c r="F62" s="1"/>
      <c r="G62" s="1"/>
      <c r="H62" s="1"/>
      <c r="I62" s="1"/>
      <c r="J62" s="1"/>
      <c r="K62" s="1"/>
      <c r="L62" s="1"/>
      <c r="M62" s="1"/>
      <c r="N62" s="1"/>
      <c r="O62" s="1"/>
      <c r="P62" s="10"/>
    </row>
    <row r="63" spans="1:16" x14ac:dyDescent="0.3">
      <c r="A63" s="124"/>
      <c r="B63" s="125"/>
      <c r="C63" s="126"/>
      <c r="D63" s="164" t="s">
        <v>472</v>
      </c>
      <c r="E63" s="5"/>
      <c r="F63" s="1"/>
      <c r="G63" s="1"/>
      <c r="H63" s="1"/>
      <c r="I63" s="1"/>
      <c r="J63" s="1"/>
      <c r="K63" s="1"/>
      <c r="L63" s="1"/>
      <c r="M63" s="1"/>
      <c r="N63" s="1"/>
      <c r="O63" s="1"/>
      <c r="P63" s="10"/>
    </row>
    <row r="64" spans="1:16" x14ac:dyDescent="0.3">
      <c r="A64" s="124"/>
      <c r="B64" s="125"/>
      <c r="C64" s="126"/>
      <c r="D64" s="164" t="s">
        <v>444</v>
      </c>
      <c r="E64" s="5"/>
      <c r="F64" s="1"/>
      <c r="G64" s="1"/>
      <c r="H64" s="1"/>
      <c r="I64" s="1"/>
      <c r="J64" s="1"/>
      <c r="K64" s="1"/>
      <c r="L64" s="1"/>
      <c r="M64" s="1"/>
      <c r="N64" s="1"/>
      <c r="O64" s="1"/>
      <c r="P64" s="10"/>
    </row>
    <row r="65" spans="1:16" x14ac:dyDescent="0.3">
      <c r="A65" s="124"/>
      <c r="B65" s="125"/>
      <c r="C65" s="126"/>
      <c r="D65" s="164" t="s">
        <v>453</v>
      </c>
      <c r="E65" s="5"/>
      <c r="F65" s="1"/>
      <c r="G65" s="1"/>
      <c r="H65" s="1"/>
      <c r="I65" s="1"/>
      <c r="J65" s="1"/>
      <c r="K65" s="1"/>
      <c r="L65" s="1"/>
      <c r="M65" s="1"/>
      <c r="N65" s="1"/>
      <c r="O65" s="1"/>
      <c r="P65" s="10"/>
    </row>
    <row r="66" spans="1:16" x14ac:dyDescent="0.3">
      <c r="A66" s="124"/>
      <c r="B66" s="125"/>
      <c r="C66" s="126" t="s">
        <v>474</v>
      </c>
      <c r="D66" s="151"/>
      <c r="E66" s="5">
        <v>1</v>
      </c>
      <c r="F66" s="1">
        <v>1</v>
      </c>
      <c r="G66" s="1">
        <v>1</v>
      </c>
      <c r="H66" s="1">
        <v>2</v>
      </c>
      <c r="I66" s="1">
        <v>2</v>
      </c>
      <c r="J66" s="1">
        <v>2</v>
      </c>
      <c r="K66" s="1">
        <v>1</v>
      </c>
      <c r="L66" s="1">
        <v>2</v>
      </c>
      <c r="M66" s="1">
        <v>2</v>
      </c>
      <c r="N66" s="1">
        <v>2</v>
      </c>
      <c r="O66" s="1">
        <v>1</v>
      </c>
      <c r="P66" s="10">
        <v>1</v>
      </c>
    </row>
    <row r="67" spans="1:16" x14ac:dyDescent="0.3">
      <c r="A67" s="124"/>
      <c r="B67" s="125"/>
      <c r="C67" s="125"/>
      <c r="D67" s="151" t="s">
        <v>444</v>
      </c>
      <c r="E67" s="5"/>
      <c r="F67" s="1"/>
      <c r="G67" s="1"/>
      <c r="H67" s="1"/>
      <c r="I67" s="1"/>
      <c r="J67" s="1"/>
      <c r="K67" s="1"/>
      <c r="L67" s="1"/>
      <c r="M67" s="1"/>
      <c r="N67" s="1"/>
      <c r="O67" s="1"/>
      <c r="P67" s="10"/>
    </row>
    <row r="68" spans="1:16" x14ac:dyDescent="0.3">
      <c r="A68" s="124"/>
      <c r="B68" s="125"/>
      <c r="C68" s="125"/>
      <c r="D68" s="151" t="s">
        <v>470</v>
      </c>
      <c r="E68" s="5"/>
      <c r="F68" s="1"/>
      <c r="G68" s="1"/>
      <c r="H68" s="1"/>
      <c r="I68" s="1"/>
      <c r="J68" s="1"/>
      <c r="K68" s="1"/>
      <c r="L68" s="1"/>
      <c r="M68" s="1"/>
      <c r="N68" s="1"/>
      <c r="O68" s="1"/>
      <c r="P68" s="10"/>
    </row>
    <row r="69" spans="1:16" x14ac:dyDescent="0.3">
      <c r="A69" s="124"/>
      <c r="B69" s="125"/>
      <c r="C69" s="125"/>
      <c r="D69" s="164" t="s">
        <v>473</v>
      </c>
      <c r="E69" s="5"/>
      <c r="F69" s="1"/>
      <c r="G69" s="1"/>
      <c r="H69" s="1"/>
      <c r="I69" s="1"/>
      <c r="J69" s="1"/>
      <c r="K69" s="1"/>
      <c r="L69" s="1"/>
      <c r="M69" s="1"/>
      <c r="N69" s="1"/>
      <c r="O69" s="1"/>
      <c r="P69" s="10"/>
    </row>
    <row r="70" spans="1:16" x14ac:dyDescent="0.3">
      <c r="A70" s="124"/>
      <c r="B70" s="125"/>
      <c r="C70" s="125"/>
      <c r="D70" s="164" t="s">
        <v>472</v>
      </c>
      <c r="E70" s="5"/>
      <c r="F70" s="1"/>
      <c r="G70" s="1"/>
      <c r="H70" s="1"/>
      <c r="I70" s="1"/>
      <c r="J70" s="1"/>
      <c r="K70" s="1"/>
      <c r="L70" s="1"/>
      <c r="M70" s="1"/>
      <c r="N70" s="1"/>
      <c r="O70" s="1"/>
      <c r="P70" s="10"/>
    </row>
    <row r="71" spans="1:16" x14ac:dyDescent="0.3">
      <c r="A71" s="124"/>
      <c r="B71" s="125"/>
      <c r="C71" s="125"/>
      <c r="D71" s="164" t="s">
        <v>444</v>
      </c>
      <c r="E71" s="5"/>
      <c r="F71" s="1"/>
      <c r="G71" s="1"/>
      <c r="H71" s="1"/>
      <c r="I71" s="1"/>
      <c r="J71" s="1"/>
      <c r="K71" s="1"/>
      <c r="L71" s="1"/>
      <c r="M71" s="1"/>
      <c r="N71" s="1"/>
      <c r="O71" s="1"/>
      <c r="P71" s="10"/>
    </row>
    <row r="72" spans="1:16" x14ac:dyDescent="0.3">
      <c r="A72" s="124"/>
      <c r="B72" s="125"/>
      <c r="C72" s="125"/>
      <c r="D72" s="164" t="s">
        <v>453</v>
      </c>
      <c r="E72" s="5"/>
      <c r="F72" s="1"/>
      <c r="G72" s="1"/>
      <c r="H72" s="1"/>
      <c r="I72" s="1"/>
      <c r="J72" s="1"/>
      <c r="K72" s="1"/>
      <c r="L72" s="1"/>
      <c r="M72" s="1"/>
      <c r="N72" s="1"/>
      <c r="O72" s="1"/>
      <c r="P72" s="10"/>
    </row>
    <row r="73" spans="1:16" x14ac:dyDescent="0.3">
      <c r="A73" s="124"/>
      <c r="B73" s="125" t="s">
        <v>475</v>
      </c>
      <c r="C73" s="125"/>
      <c r="D73" s="151"/>
      <c r="E73" s="5">
        <v>3</v>
      </c>
      <c r="F73" s="1">
        <v>3</v>
      </c>
      <c r="G73" s="1">
        <v>3</v>
      </c>
      <c r="H73" s="1">
        <v>4</v>
      </c>
      <c r="I73" s="1">
        <v>8</v>
      </c>
      <c r="J73" s="1">
        <v>8</v>
      </c>
      <c r="K73" s="1">
        <v>3</v>
      </c>
      <c r="L73" s="1">
        <v>5</v>
      </c>
      <c r="M73" s="1">
        <v>3</v>
      </c>
      <c r="N73" s="1">
        <v>5</v>
      </c>
      <c r="O73" s="1">
        <v>3</v>
      </c>
      <c r="P73" s="10">
        <v>5</v>
      </c>
    </row>
    <row r="74" spans="1:16" x14ac:dyDescent="0.3">
      <c r="A74" s="124"/>
      <c r="B74" s="125"/>
      <c r="C74" s="125" t="s">
        <v>444</v>
      </c>
      <c r="D74" s="151"/>
      <c r="E74" s="5"/>
      <c r="F74" s="1"/>
      <c r="G74" s="1"/>
      <c r="H74" s="1"/>
      <c r="I74" s="1"/>
      <c r="J74" s="1"/>
      <c r="K74" s="1"/>
      <c r="L74" s="1"/>
      <c r="M74" s="1"/>
      <c r="N74" s="1"/>
      <c r="O74" s="1"/>
      <c r="P74" s="10"/>
    </row>
    <row r="75" spans="1:16" x14ac:dyDescent="0.3">
      <c r="A75" s="124"/>
      <c r="B75" s="125"/>
      <c r="C75" s="125" t="s">
        <v>16</v>
      </c>
      <c r="D75" s="151"/>
      <c r="E75" s="5"/>
      <c r="F75" s="1"/>
      <c r="G75" s="1"/>
      <c r="H75" s="1"/>
      <c r="I75" s="1"/>
      <c r="J75" s="1"/>
      <c r="K75" s="1"/>
      <c r="L75" s="1"/>
      <c r="M75" s="1"/>
      <c r="N75" s="1"/>
      <c r="O75" s="1"/>
      <c r="P75" s="10"/>
    </row>
    <row r="76" spans="1:16" x14ac:dyDescent="0.3">
      <c r="A76" s="124"/>
      <c r="B76" s="125"/>
      <c r="C76" s="125" t="s">
        <v>448</v>
      </c>
      <c r="D76" s="151"/>
      <c r="E76" s="5"/>
      <c r="F76" s="1"/>
      <c r="G76" s="1"/>
      <c r="H76" s="1"/>
      <c r="I76" s="1"/>
      <c r="J76" s="1"/>
      <c r="K76" s="1"/>
      <c r="L76" s="1"/>
      <c r="M76" s="1"/>
      <c r="N76" s="1"/>
      <c r="O76" s="1"/>
      <c r="P76" s="10"/>
    </row>
    <row r="77" spans="1:16" x14ac:dyDescent="0.3">
      <c r="A77" s="124"/>
      <c r="B77" s="125"/>
      <c r="C77" s="125" t="s">
        <v>476</v>
      </c>
      <c r="D77" s="151"/>
      <c r="E77" s="5"/>
      <c r="F77" s="1"/>
      <c r="G77" s="1"/>
      <c r="H77" s="1"/>
      <c r="I77" s="1"/>
      <c r="J77" s="1"/>
      <c r="K77" s="1"/>
      <c r="L77" s="1"/>
      <c r="M77" s="1"/>
      <c r="N77" s="1"/>
      <c r="O77" s="1"/>
      <c r="P77" s="10"/>
    </row>
    <row r="78" spans="1:16" x14ac:dyDescent="0.3">
      <c r="A78" s="124"/>
      <c r="B78" s="125"/>
      <c r="C78" s="125" t="s">
        <v>477</v>
      </c>
      <c r="D78" s="151"/>
      <c r="E78" s="5"/>
      <c r="F78" s="1"/>
      <c r="G78" s="1"/>
      <c r="H78" s="1"/>
      <c r="I78" s="1"/>
      <c r="J78" s="1"/>
      <c r="K78" s="1"/>
      <c r="L78" s="1"/>
      <c r="M78" s="1"/>
      <c r="N78" s="1"/>
      <c r="O78" s="1"/>
      <c r="P78" s="10"/>
    </row>
    <row r="79" spans="1:16" x14ac:dyDescent="0.3">
      <c r="A79" s="124"/>
      <c r="B79" s="125"/>
      <c r="C79" s="125" t="s">
        <v>478</v>
      </c>
      <c r="D79" s="151"/>
      <c r="E79" s="5"/>
      <c r="F79" s="1"/>
      <c r="G79" s="1"/>
      <c r="H79" s="1"/>
      <c r="I79" s="1"/>
      <c r="J79" s="1"/>
      <c r="K79" s="1"/>
      <c r="L79" s="1"/>
      <c r="M79" s="1"/>
      <c r="N79" s="1"/>
      <c r="O79" s="1"/>
      <c r="P79" s="10"/>
    </row>
    <row r="80" spans="1:16" x14ac:dyDescent="0.3">
      <c r="A80" s="124"/>
      <c r="B80" s="125"/>
      <c r="C80" s="125" t="s">
        <v>479</v>
      </c>
      <c r="D80" s="151"/>
      <c r="E80" s="5"/>
      <c r="F80" s="1"/>
      <c r="G80" s="1"/>
      <c r="H80" s="1"/>
      <c r="I80" s="1"/>
      <c r="J80" s="1"/>
      <c r="K80" s="1"/>
      <c r="L80" s="1"/>
      <c r="M80" s="1"/>
      <c r="N80" s="1"/>
      <c r="O80" s="1"/>
      <c r="P80" s="10"/>
    </row>
    <row r="81" spans="1:16" x14ac:dyDescent="0.3">
      <c r="A81" s="124"/>
      <c r="B81" s="125"/>
      <c r="C81" s="125" t="s">
        <v>480</v>
      </c>
      <c r="D81" s="151"/>
      <c r="E81" s="5"/>
      <c r="F81" s="1"/>
      <c r="G81" s="1"/>
      <c r="H81" s="1"/>
      <c r="I81" s="1"/>
      <c r="J81" s="1"/>
      <c r="K81" s="1"/>
      <c r="L81" s="1"/>
      <c r="M81" s="1"/>
      <c r="N81" s="1"/>
      <c r="O81" s="1"/>
      <c r="P81" s="10"/>
    </row>
    <row r="82" spans="1:16" x14ac:dyDescent="0.3">
      <c r="A82" s="124"/>
      <c r="B82" s="125"/>
      <c r="C82" s="125" t="s">
        <v>462</v>
      </c>
      <c r="D82" s="151"/>
      <c r="E82" s="5"/>
      <c r="F82" s="1"/>
      <c r="G82" s="1"/>
      <c r="H82" s="1"/>
      <c r="I82" s="1"/>
      <c r="J82" s="1"/>
      <c r="K82" s="1"/>
      <c r="L82" s="1"/>
      <c r="M82" s="1"/>
      <c r="N82" s="1"/>
      <c r="O82" s="1"/>
      <c r="P82" s="10"/>
    </row>
    <row r="83" spans="1:16" x14ac:dyDescent="0.3">
      <c r="A83" s="124"/>
      <c r="B83" s="125"/>
      <c r="C83" s="125"/>
      <c r="D83" s="151" t="s">
        <v>481</v>
      </c>
      <c r="E83" s="5"/>
      <c r="F83" s="1"/>
      <c r="G83" s="1"/>
      <c r="H83" s="1"/>
      <c r="I83" s="1"/>
      <c r="J83" s="1"/>
      <c r="K83" s="1"/>
      <c r="L83" s="1"/>
      <c r="M83" s="1"/>
      <c r="N83" s="1"/>
      <c r="O83" s="1"/>
      <c r="P83" s="10"/>
    </row>
    <row r="84" spans="1:16" x14ac:dyDescent="0.3">
      <c r="A84" s="124"/>
      <c r="B84" s="125"/>
      <c r="C84" s="125"/>
      <c r="D84" s="151" t="s">
        <v>482</v>
      </c>
      <c r="E84" s="5"/>
      <c r="F84" s="1"/>
      <c r="G84" s="1"/>
      <c r="H84" s="1"/>
      <c r="I84" s="1"/>
      <c r="J84" s="1"/>
      <c r="K84" s="1"/>
      <c r="L84" s="1"/>
      <c r="M84" s="1"/>
      <c r="N84" s="1"/>
      <c r="O84" s="1"/>
      <c r="P84" s="10"/>
    </row>
    <row r="85" spans="1:16" x14ac:dyDescent="0.3">
      <c r="A85" s="124"/>
      <c r="B85" s="125"/>
      <c r="C85" s="125" t="s">
        <v>458</v>
      </c>
      <c r="D85" s="151"/>
      <c r="E85" s="5"/>
      <c r="F85" s="1"/>
      <c r="G85" s="1"/>
      <c r="H85" s="1"/>
      <c r="I85" s="1"/>
      <c r="J85" s="1"/>
      <c r="K85" s="1"/>
      <c r="L85" s="1"/>
      <c r="M85" s="1"/>
      <c r="N85" s="1"/>
      <c r="O85" s="1"/>
      <c r="P85" s="10"/>
    </row>
    <row r="86" spans="1:16" x14ac:dyDescent="0.3">
      <c r="A86" s="124"/>
      <c r="B86" s="125"/>
      <c r="C86" s="125"/>
      <c r="D86" s="151" t="s">
        <v>481</v>
      </c>
      <c r="E86" s="5"/>
      <c r="F86" s="1"/>
      <c r="G86" s="1"/>
      <c r="H86" s="1"/>
      <c r="I86" s="1"/>
      <c r="J86" s="1"/>
      <c r="K86" s="1"/>
      <c r="L86" s="1"/>
      <c r="M86" s="1"/>
      <c r="N86" s="1"/>
      <c r="O86" s="1"/>
      <c r="P86" s="10"/>
    </row>
    <row r="87" spans="1:16" x14ac:dyDescent="0.3">
      <c r="A87" s="124"/>
      <c r="B87" s="125"/>
      <c r="C87" s="125"/>
      <c r="D87" s="151" t="s">
        <v>482</v>
      </c>
      <c r="E87" s="5"/>
      <c r="F87" s="1"/>
      <c r="G87" s="1"/>
      <c r="H87" s="1"/>
      <c r="I87" s="1"/>
      <c r="J87" s="1"/>
      <c r="K87" s="1"/>
      <c r="L87" s="1"/>
      <c r="M87" s="1"/>
      <c r="N87" s="1"/>
      <c r="O87" s="1"/>
      <c r="P87" s="10"/>
    </row>
    <row r="88" spans="1:16" x14ac:dyDescent="0.3">
      <c r="A88" s="124"/>
      <c r="B88" s="125"/>
      <c r="C88" s="125"/>
      <c r="D88" s="151"/>
      <c r="E88" s="5"/>
      <c r="F88" s="1"/>
      <c r="G88" s="1"/>
      <c r="H88" s="1"/>
      <c r="I88" s="1"/>
      <c r="J88" s="1"/>
      <c r="K88" s="1"/>
      <c r="L88" s="1"/>
      <c r="M88" s="1"/>
      <c r="N88" s="1"/>
      <c r="O88" s="1"/>
      <c r="P88" s="10"/>
    </row>
    <row r="89" spans="1:16" x14ac:dyDescent="0.3">
      <c r="A89" s="124"/>
      <c r="B89" s="125" t="s">
        <v>483</v>
      </c>
      <c r="C89" s="125"/>
      <c r="D89" s="151"/>
      <c r="E89" s="5">
        <v>1</v>
      </c>
      <c r="F89" s="1">
        <v>1</v>
      </c>
      <c r="G89" s="1">
        <v>1</v>
      </c>
      <c r="H89" s="1">
        <v>2</v>
      </c>
      <c r="I89" s="1">
        <v>2</v>
      </c>
      <c r="J89" s="1">
        <v>2</v>
      </c>
      <c r="K89" s="1">
        <v>1</v>
      </c>
      <c r="L89" s="1">
        <v>2</v>
      </c>
      <c r="M89" s="1">
        <v>1</v>
      </c>
      <c r="N89" s="1">
        <v>1</v>
      </c>
      <c r="O89" s="1">
        <v>1</v>
      </c>
      <c r="P89" s="10">
        <v>2</v>
      </c>
    </row>
    <row r="90" spans="1:16" x14ac:dyDescent="0.3">
      <c r="A90" s="124"/>
      <c r="B90" s="125"/>
      <c r="C90" s="125" t="s">
        <v>444</v>
      </c>
      <c r="D90" s="151"/>
      <c r="E90" s="5"/>
      <c r="F90" s="1"/>
      <c r="G90" s="1"/>
      <c r="H90" s="1"/>
      <c r="I90" s="1"/>
      <c r="J90" s="1"/>
      <c r="K90" s="1"/>
      <c r="L90" s="1"/>
      <c r="M90" s="1"/>
      <c r="N90" s="1"/>
      <c r="O90" s="1"/>
      <c r="P90" s="10"/>
    </row>
    <row r="91" spans="1:16" x14ac:dyDescent="0.3">
      <c r="A91" s="124"/>
      <c r="B91" s="125"/>
      <c r="C91" s="125" t="s">
        <v>484</v>
      </c>
      <c r="D91" s="151"/>
      <c r="E91" s="5">
        <v>5</v>
      </c>
      <c r="F91" s="1">
        <v>5</v>
      </c>
      <c r="G91" s="1">
        <v>5</v>
      </c>
      <c r="H91" s="1">
        <v>7</v>
      </c>
      <c r="I91" s="1">
        <v>12</v>
      </c>
      <c r="J91" s="1">
        <v>12</v>
      </c>
      <c r="K91" s="1">
        <v>3</v>
      </c>
      <c r="L91" s="1">
        <v>5</v>
      </c>
      <c r="M91" s="1">
        <v>5</v>
      </c>
      <c r="N91" s="1">
        <v>8</v>
      </c>
      <c r="O91" s="1">
        <v>6</v>
      </c>
      <c r="P91" s="10">
        <v>9</v>
      </c>
    </row>
    <row r="92" spans="1:16" x14ac:dyDescent="0.3">
      <c r="A92" s="124"/>
      <c r="B92" s="125"/>
      <c r="C92" s="126" t="s">
        <v>462</v>
      </c>
      <c r="D92" s="151"/>
      <c r="E92" s="5"/>
      <c r="F92" s="1"/>
      <c r="G92" s="1"/>
      <c r="H92" s="1"/>
      <c r="I92" s="1"/>
      <c r="J92" s="1"/>
      <c r="K92" s="1"/>
      <c r="L92" s="1"/>
      <c r="M92" s="1"/>
      <c r="N92" s="1"/>
      <c r="O92" s="1"/>
      <c r="P92" s="10"/>
    </row>
    <row r="93" spans="1:16" x14ac:dyDescent="0.3">
      <c r="A93" s="124"/>
      <c r="B93" s="125"/>
      <c r="C93" s="125"/>
      <c r="D93" s="151" t="s">
        <v>444</v>
      </c>
      <c r="E93" s="5"/>
      <c r="F93" s="1"/>
      <c r="G93" s="1"/>
      <c r="H93" s="1"/>
      <c r="I93" s="1"/>
      <c r="J93" s="1"/>
      <c r="K93" s="1"/>
      <c r="L93" s="1"/>
      <c r="M93" s="1"/>
      <c r="N93" s="1"/>
      <c r="O93" s="1"/>
      <c r="P93" s="10"/>
    </row>
    <row r="94" spans="1:16" x14ac:dyDescent="0.3">
      <c r="A94" s="124"/>
      <c r="B94" s="125"/>
      <c r="C94" s="125"/>
      <c r="D94" s="151" t="s">
        <v>472</v>
      </c>
      <c r="E94" s="5"/>
      <c r="F94" s="1"/>
      <c r="G94" s="1"/>
      <c r="H94" s="1"/>
      <c r="I94" s="1"/>
      <c r="J94" s="1"/>
      <c r="K94" s="1"/>
      <c r="L94" s="1"/>
      <c r="M94" s="1"/>
      <c r="N94" s="1"/>
      <c r="O94" s="1"/>
      <c r="P94" s="10"/>
    </row>
    <row r="95" spans="1:16" x14ac:dyDescent="0.3">
      <c r="A95" s="124"/>
      <c r="B95" s="125"/>
      <c r="C95" s="125"/>
      <c r="D95" s="151" t="s">
        <v>485</v>
      </c>
      <c r="E95" s="5"/>
      <c r="F95" s="1"/>
      <c r="G95" s="1"/>
      <c r="H95" s="1"/>
      <c r="I95" s="1"/>
      <c r="J95" s="1"/>
      <c r="K95" s="1"/>
      <c r="L95" s="1"/>
      <c r="M95" s="1"/>
      <c r="N95" s="1"/>
      <c r="O95" s="1"/>
      <c r="P95" s="10"/>
    </row>
    <row r="96" spans="1:16" x14ac:dyDescent="0.3">
      <c r="A96" s="124"/>
      <c r="B96" s="125"/>
      <c r="C96" s="125"/>
      <c r="D96" s="151" t="s">
        <v>486</v>
      </c>
      <c r="E96" s="5"/>
      <c r="F96" s="1"/>
      <c r="G96" s="1"/>
      <c r="H96" s="1"/>
      <c r="I96" s="1"/>
      <c r="J96" s="1"/>
      <c r="K96" s="1"/>
      <c r="L96" s="1"/>
      <c r="M96" s="1"/>
      <c r="N96" s="1"/>
      <c r="O96" s="1"/>
      <c r="P96" s="10"/>
    </row>
    <row r="97" spans="1:16" x14ac:dyDescent="0.3">
      <c r="A97" s="124"/>
      <c r="B97" s="125"/>
      <c r="C97" s="125"/>
      <c r="D97" s="151" t="s">
        <v>487</v>
      </c>
      <c r="E97" s="5"/>
      <c r="F97" s="1"/>
      <c r="G97" s="1"/>
      <c r="H97" s="1"/>
      <c r="I97" s="1"/>
      <c r="J97" s="1"/>
      <c r="K97" s="1"/>
      <c r="L97" s="1"/>
      <c r="M97" s="1"/>
      <c r="N97" s="1"/>
      <c r="O97" s="1"/>
      <c r="P97" s="10"/>
    </row>
    <row r="98" spans="1:16" x14ac:dyDescent="0.3">
      <c r="A98" s="124"/>
      <c r="B98" s="125"/>
      <c r="C98" s="125"/>
      <c r="D98" s="164" t="s">
        <v>453</v>
      </c>
      <c r="E98" s="5"/>
      <c r="F98" s="1"/>
      <c r="G98" s="1"/>
      <c r="H98" s="1"/>
      <c r="I98" s="1"/>
      <c r="J98" s="1"/>
      <c r="K98" s="1"/>
      <c r="L98" s="1"/>
      <c r="M98" s="1"/>
      <c r="N98" s="1"/>
      <c r="O98" s="1"/>
      <c r="P98" s="10"/>
    </row>
    <row r="99" spans="1:16" x14ac:dyDescent="0.3">
      <c r="A99" s="124"/>
      <c r="B99" s="125"/>
      <c r="C99" s="126" t="s">
        <v>458</v>
      </c>
      <c r="D99" s="151"/>
      <c r="E99" s="5"/>
      <c r="F99" s="1"/>
      <c r="G99" s="1"/>
      <c r="H99" s="1"/>
      <c r="I99" s="1"/>
      <c r="J99" s="1"/>
      <c r="K99" s="1"/>
      <c r="L99" s="1"/>
      <c r="M99" s="1"/>
      <c r="N99" s="1"/>
      <c r="O99" s="1"/>
      <c r="P99" s="10"/>
    </row>
    <row r="100" spans="1:16" x14ac:dyDescent="0.3">
      <c r="A100" s="124"/>
      <c r="B100" s="125"/>
      <c r="C100" s="125"/>
      <c r="D100" s="151" t="s">
        <v>444</v>
      </c>
      <c r="E100" s="5"/>
      <c r="F100" s="1"/>
      <c r="G100" s="1"/>
      <c r="H100" s="1"/>
      <c r="I100" s="1"/>
      <c r="J100" s="1"/>
      <c r="K100" s="1"/>
      <c r="L100" s="1"/>
      <c r="M100" s="1"/>
      <c r="N100" s="1"/>
      <c r="O100" s="1"/>
      <c r="P100" s="10"/>
    </row>
    <row r="101" spans="1:16" x14ac:dyDescent="0.3">
      <c r="A101" s="124"/>
      <c r="B101" s="125"/>
      <c r="C101" s="125"/>
      <c r="D101" s="151" t="s">
        <v>472</v>
      </c>
      <c r="E101" s="5"/>
      <c r="F101" s="1"/>
      <c r="G101" s="1"/>
      <c r="H101" s="1"/>
      <c r="I101" s="1"/>
      <c r="J101" s="1"/>
      <c r="K101" s="1"/>
      <c r="L101" s="1"/>
      <c r="M101" s="1"/>
      <c r="N101" s="1"/>
      <c r="O101" s="1"/>
      <c r="P101" s="10"/>
    </row>
    <row r="102" spans="1:16" x14ac:dyDescent="0.3">
      <c r="A102" s="124"/>
      <c r="B102" s="125"/>
      <c r="C102" s="125"/>
      <c r="D102" s="151" t="s">
        <v>485</v>
      </c>
      <c r="E102" s="5"/>
      <c r="F102" s="1"/>
      <c r="G102" s="1"/>
      <c r="H102" s="1"/>
      <c r="I102" s="1"/>
      <c r="J102" s="1"/>
      <c r="K102" s="1"/>
      <c r="L102" s="1"/>
      <c r="M102" s="1"/>
      <c r="N102" s="1"/>
      <c r="O102" s="1"/>
      <c r="P102" s="10"/>
    </row>
    <row r="103" spans="1:16" x14ac:dyDescent="0.3">
      <c r="A103" s="124"/>
      <c r="B103" s="125"/>
      <c r="C103" s="125"/>
      <c r="D103" s="151" t="s">
        <v>486</v>
      </c>
      <c r="E103" s="5"/>
      <c r="F103" s="1"/>
      <c r="G103" s="1"/>
      <c r="H103" s="1"/>
      <c r="I103" s="1"/>
      <c r="J103" s="1"/>
      <c r="K103" s="1"/>
      <c r="L103" s="1"/>
      <c r="M103" s="1"/>
      <c r="N103" s="1"/>
      <c r="O103" s="1"/>
      <c r="P103" s="10"/>
    </row>
    <row r="104" spans="1:16" x14ac:dyDescent="0.3">
      <c r="A104" s="124"/>
      <c r="B104" s="125"/>
      <c r="C104" s="125"/>
      <c r="D104" s="151" t="s">
        <v>487</v>
      </c>
      <c r="E104" s="5"/>
      <c r="F104" s="1"/>
      <c r="G104" s="1"/>
      <c r="H104" s="1"/>
      <c r="I104" s="1"/>
      <c r="J104" s="1"/>
      <c r="K104" s="1"/>
      <c r="L104" s="1"/>
      <c r="M104" s="1"/>
      <c r="N104" s="1"/>
      <c r="O104" s="1"/>
      <c r="P104" s="10"/>
    </row>
    <row r="105" spans="1:16" x14ac:dyDescent="0.3">
      <c r="A105" s="124"/>
      <c r="B105" s="125"/>
      <c r="C105" s="125"/>
      <c r="D105" s="164" t="s">
        <v>453</v>
      </c>
      <c r="E105" s="5"/>
      <c r="F105" s="1"/>
      <c r="G105" s="1"/>
      <c r="H105" s="1"/>
      <c r="I105" s="1"/>
      <c r="J105" s="1"/>
      <c r="K105" s="1"/>
      <c r="L105" s="1"/>
      <c r="M105" s="1"/>
      <c r="N105" s="1"/>
      <c r="O105" s="1"/>
      <c r="P105" s="10"/>
    </row>
    <row r="106" spans="1:16" x14ac:dyDescent="0.3">
      <c r="A106" s="124"/>
      <c r="B106" s="125"/>
      <c r="C106" s="125" t="s">
        <v>488</v>
      </c>
      <c r="D106" s="151"/>
      <c r="E106" s="5">
        <v>5</v>
      </c>
      <c r="F106" s="1">
        <v>5</v>
      </c>
      <c r="G106" s="1">
        <v>5</v>
      </c>
      <c r="H106" s="1">
        <v>7</v>
      </c>
      <c r="I106" s="1">
        <v>12</v>
      </c>
      <c r="J106" s="1">
        <v>12</v>
      </c>
      <c r="K106" s="1">
        <v>3</v>
      </c>
      <c r="L106" s="1">
        <v>5</v>
      </c>
      <c r="M106" s="1">
        <v>5</v>
      </c>
      <c r="N106" s="1">
        <v>4</v>
      </c>
      <c r="O106" s="1">
        <v>4</v>
      </c>
      <c r="P106" s="10">
        <v>5</v>
      </c>
    </row>
    <row r="107" spans="1:16" x14ac:dyDescent="0.3">
      <c r="A107" s="124"/>
      <c r="B107" s="125"/>
      <c r="C107" s="126" t="s">
        <v>462</v>
      </c>
      <c r="D107" s="151"/>
      <c r="E107" s="5"/>
      <c r="F107" s="1"/>
      <c r="G107" s="1"/>
      <c r="H107" s="1"/>
      <c r="I107" s="1"/>
      <c r="J107" s="1"/>
      <c r="K107" s="1"/>
      <c r="L107" s="1"/>
      <c r="M107" s="1"/>
      <c r="N107" s="1"/>
      <c r="O107" s="1"/>
      <c r="P107" s="10"/>
    </row>
    <row r="108" spans="1:16" x14ac:dyDescent="0.3">
      <c r="A108" s="124"/>
      <c r="B108" s="125"/>
      <c r="C108" s="125"/>
      <c r="D108" s="151" t="s">
        <v>444</v>
      </c>
      <c r="E108" s="5"/>
      <c r="F108" s="1"/>
      <c r="G108" s="1"/>
      <c r="H108" s="1"/>
      <c r="I108" s="1"/>
      <c r="J108" s="1"/>
      <c r="K108" s="1"/>
      <c r="L108" s="1"/>
      <c r="M108" s="1"/>
      <c r="N108" s="1"/>
      <c r="O108" s="1"/>
      <c r="P108" s="10"/>
    </row>
    <row r="109" spans="1:16" x14ac:dyDescent="0.3">
      <c r="A109" s="124"/>
      <c r="B109" s="125"/>
      <c r="C109" s="125"/>
      <c r="D109" s="151" t="s">
        <v>472</v>
      </c>
      <c r="E109" s="5"/>
      <c r="F109" s="1"/>
      <c r="G109" s="1"/>
      <c r="H109" s="1"/>
      <c r="I109" s="1"/>
      <c r="J109" s="1"/>
      <c r="K109" s="1"/>
      <c r="L109" s="1"/>
      <c r="M109" s="1"/>
      <c r="N109" s="1"/>
      <c r="O109" s="1"/>
      <c r="P109" s="10"/>
    </row>
    <row r="110" spans="1:16" x14ac:dyDescent="0.3">
      <c r="A110" s="124"/>
      <c r="B110" s="125"/>
      <c r="C110" s="125"/>
      <c r="D110" s="151" t="s">
        <v>485</v>
      </c>
      <c r="E110" s="5"/>
      <c r="F110" s="1"/>
      <c r="G110" s="1"/>
      <c r="H110" s="1"/>
      <c r="I110" s="1"/>
      <c r="J110" s="1"/>
      <c r="K110" s="1"/>
      <c r="L110" s="1"/>
      <c r="M110" s="1"/>
      <c r="N110" s="1"/>
      <c r="O110" s="1"/>
      <c r="P110" s="10"/>
    </row>
    <row r="111" spans="1:16" x14ac:dyDescent="0.3">
      <c r="A111" s="124"/>
      <c r="B111" s="125"/>
      <c r="C111" s="125"/>
      <c r="D111" s="151" t="s">
        <v>486</v>
      </c>
      <c r="E111" s="5"/>
      <c r="F111" s="1"/>
      <c r="G111" s="1"/>
      <c r="H111" s="1"/>
      <c r="I111" s="1"/>
      <c r="J111" s="1"/>
      <c r="K111" s="1"/>
      <c r="L111" s="1"/>
      <c r="M111" s="1"/>
      <c r="N111" s="1"/>
      <c r="O111" s="1"/>
      <c r="P111" s="10"/>
    </row>
    <row r="112" spans="1:16" x14ac:dyDescent="0.3">
      <c r="A112" s="124"/>
      <c r="B112" s="125"/>
      <c r="C112" s="125"/>
      <c r="D112" s="151" t="s">
        <v>487</v>
      </c>
      <c r="E112" s="5"/>
      <c r="F112" s="1"/>
      <c r="G112" s="1"/>
      <c r="H112" s="1"/>
      <c r="I112" s="1"/>
      <c r="J112" s="1"/>
      <c r="K112" s="1"/>
      <c r="L112" s="1"/>
      <c r="M112" s="1"/>
      <c r="N112" s="1"/>
      <c r="O112" s="1"/>
      <c r="P112" s="10"/>
    </row>
    <row r="113" spans="1:16" x14ac:dyDescent="0.3">
      <c r="A113" s="124"/>
      <c r="B113" s="125"/>
      <c r="C113" s="125"/>
      <c r="D113" s="164" t="s">
        <v>453</v>
      </c>
      <c r="E113" s="5"/>
      <c r="F113" s="1"/>
      <c r="G113" s="1"/>
      <c r="H113" s="1"/>
      <c r="I113" s="1"/>
      <c r="J113" s="1"/>
      <c r="K113" s="1"/>
      <c r="L113" s="1"/>
      <c r="M113" s="1"/>
      <c r="N113" s="1"/>
      <c r="O113" s="1"/>
      <c r="P113" s="10"/>
    </row>
    <row r="114" spans="1:16" x14ac:dyDescent="0.3">
      <c r="A114" s="124"/>
      <c r="B114" s="125"/>
      <c r="C114" s="126" t="s">
        <v>458</v>
      </c>
      <c r="D114" s="151"/>
      <c r="E114" s="5"/>
      <c r="F114" s="1"/>
      <c r="G114" s="1"/>
      <c r="H114" s="1"/>
      <c r="I114" s="1"/>
      <c r="J114" s="1"/>
      <c r="K114" s="1"/>
      <c r="L114" s="1"/>
      <c r="M114" s="1"/>
      <c r="N114" s="1"/>
      <c r="O114" s="1"/>
      <c r="P114" s="10"/>
    </row>
    <row r="115" spans="1:16" x14ac:dyDescent="0.3">
      <c r="A115" s="124"/>
      <c r="B115" s="125"/>
      <c r="C115" s="125"/>
      <c r="D115" s="151" t="s">
        <v>444</v>
      </c>
      <c r="E115" s="5"/>
      <c r="F115" s="1"/>
      <c r="G115" s="1"/>
      <c r="H115" s="1"/>
      <c r="I115" s="1"/>
      <c r="J115" s="1"/>
      <c r="K115" s="1"/>
      <c r="L115" s="1"/>
      <c r="M115" s="1"/>
      <c r="N115" s="1"/>
      <c r="O115" s="1"/>
      <c r="P115" s="10"/>
    </row>
    <row r="116" spans="1:16" x14ac:dyDescent="0.3">
      <c r="A116" s="124"/>
      <c r="B116" s="125"/>
      <c r="C116" s="125"/>
      <c r="D116" s="151" t="s">
        <v>472</v>
      </c>
      <c r="E116" s="5"/>
      <c r="F116" s="1"/>
      <c r="G116" s="1"/>
      <c r="H116" s="1"/>
      <c r="I116" s="1"/>
      <c r="J116" s="1"/>
      <c r="K116" s="1"/>
      <c r="L116" s="1"/>
      <c r="M116" s="1"/>
      <c r="N116" s="1"/>
      <c r="O116" s="1"/>
      <c r="P116" s="10"/>
    </row>
    <row r="117" spans="1:16" x14ac:dyDescent="0.3">
      <c r="A117" s="124"/>
      <c r="B117" s="125"/>
      <c r="C117" s="125"/>
      <c r="D117" s="151" t="s">
        <v>485</v>
      </c>
      <c r="E117" s="5"/>
      <c r="F117" s="1"/>
      <c r="G117" s="1"/>
      <c r="H117" s="1"/>
      <c r="I117" s="1"/>
      <c r="J117" s="1"/>
      <c r="K117" s="1"/>
      <c r="L117" s="1"/>
      <c r="M117" s="1"/>
      <c r="N117" s="1"/>
      <c r="O117" s="1"/>
      <c r="P117" s="10"/>
    </row>
    <row r="118" spans="1:16" x14ac:dyDescent="0.3">
      <c r="A118" s="124"/>
      <c r="B118" s="125"/>
      <c r="C118" s="125"/>
      <c r="D118" s="151" t="s">
        <v>486</v>
      </c>
      <c r="E118" s="5"/>
      <c r="F118" s="1"/>
      <c r="G118" s="1"/>
      <c r="H118" s="1"/>
      <c r="I118" s="1"/>
      <c r="J118" s="1"/>
      <c r="K118" s="1"/>
      <c r="L118" s="1"/>
      <c r="M118" s="1"/>
      <c r="N118" s="1"/>
      <c r="O118" s="1"/>
      <c r="P118" s="10"/>
    </row>
    <row r="119" spans="1:16" x14ac:dyDescent="0.3">
      <c r="A119" s="124"/>
      <c r="B119" s="125"/>
      <c r="C119" s="125"/>
      <c r="D119" s="151" t="s">
        <v>487</v>
      </c>
      <c r="E119" s="5"/>
      <c r="F119" s="1"/>
      <c r="G119" s="1"/>
      <c r="H119" s="1"/>
      <c r="I119" s="1"/>
      <c r="J119" s="1"/>
      <c r="K119" s="1"/>
      <c r="L119" s="1"/>
      <c r="M119" s="1"/>
      <c r="N119" s="1"/>
      <c r="O119" s="1"/>
      <c r="P119" s="10"/>
    </row>
    <row r="120" spans="1:16" x14ac:dyDescent="0.3">
      <c r="A120" s="124"/>
      <c r="B120" s="125"/>
      <c r="C120" s="125"/>
      <c r="D120" s="164" t="s">
        <v>453</v>
      </c>
      <c r="E120" s="5"/>
      <c r="F120" s="1"/>
      <c r="G120" s="1"/>
      <c r="H120" s="1"/>
      <c r="I120" s="1"/>
      <c r="J120" s="1"/>
      <c r="K120" s="1"/>
      <c r="L120" s="1"/>
      <c r="M120" s="1"/>
      <c r="N120" s="1"/>
      <c r="O120" s="1"/>
      <c r="P120" s="10"/>
    </row>
    <row r="121" spans="1:16" x14ac:dyDescent="0.3">
      <c r="A121" s="124"/>
      <c r="B121" s="125"/>
      <c r="C121" s="125" t="s">
        <v>489</v>
      </c>
      <c r="D121" s="151"/>
      <c r="E121" s="5">
        <v>5</v>
      </c>
      <c r="F121" s="1">
        <v>5</v>
      </c>
      <c r="G121" s="1">
        <v>5</v>
      </c>
      <c r="H121" s="1">
        <v>7</v>
      </c>
      <c r="I121" s="1">
        <v>12</v>
      </c>
      <c r="J121" s="1">
        <v>12</v>
      </c>
      <c r="K121" s="1">
        <v>7</v>
      </c>
      <c r="L121" s="1">
        <v>12</v>
      </c>
      <c r="M121" s="1">
        <v>5</v>
      </c>
      <c r="N121" s="1">
        <v>4</v>
      </c>
      <c r="O121" s="1">
        <v>4</v>
      </c>
      <c r="P121" s="10">
        <v>5</v>
      </c>
    </row>
    <row r="122" spans="1:16" x14ac:dyDescent="0.3">
      <c r="A122" s="124"/>
      <c r="B122" s="125"/>
      <c r="C122" s="126" t="s">
        <v>462</v>
      </c>
      <c r="D122" s="151"/>
      <c r="E122" s="5"/>
      <c r="F122" s="1"/>
      <c r="G122" s="1"/>
      <c r="H122" s="1"/>
      <c r="I122" s="1"/>
      <c r="J122" s="1"/>
      <c r="K122" s="1"/>
      <c r="L122" s="1"/>
      <c r="M122" s="1"/>
      <c r="N122" s="1"/>
      <c r="O122" s="1"/>
      <c r="P122" s="10"/>
    </row>
    <row r="123" spans="1:16" x14ac:dyDescent="0.3">
      <c r="A123" s="124"/>
      <c r="B123" s="125"/>
      <c r="C123" s="125"/>
      <c r="D123" s="151" t="s">
        <v>444</v>
      </c>
      <c r="E123" s="5"/>
      <c r="F123" s="1"/>
      <c r="G123" s="1"/>
      <c r="H123" s="1"/>
      <c r="I123" s="1"/>
      <c r="J123" s="1"/>
      <c r="K123" s="1"/>
      <c r="L123" s="1"/>
      <c r="M123" s="1"/>
      <c r="N123" s="1"/>
      <c r="O123" s="1"/>
      <c r="P123" s="10"/>
    </row>
    <row r="124" spans="1:16" x14ac:dyDescent="0.3">
      <c r="A124" s="124"/>
      <c r="B124" s="125"/>
      <c r="C124" s="125"/>
      <c r="D124" s="151" t="s">
        <v>472</v>
      </c>
      <c r="E124" s="5"/>
      <c r="F124" s="1"/>
      <c r="G124" s="1"/>
      <c r="H124" s="1"/>
      <c r="I124" s="1"/>
      <c r="J124" s="1"/>
      <c r="K124" s="1"/>
      <c r="L124" s="1"/>
      <c r="M124" s="1"/>
      <c r="N124" s="1"/>
      <c r="O124" s="1"/>
      <c r="P124" s="10"/>
    </row>
    <row r="125" spans="1:16" x14ac:dyDescent="0.3">
      <c r="A125" s="124"/>
      <c r="B125" s="125"/>
      <c r="C125" s="125"/>
      <c r="D125" s="151" t="s">
        <v>485</v>
      </c>
      <c r="E125" s="5"/>
      <c r="F125" s="1"/>
      <c r="G125" s="1"/>
      <c r="H125" s="1"/>
      <c r="I125" s="1"/>
      <c r="J125" s="1"/>
      <c r="K125" s="1"/>
      <c r="L125" s="1"/>
      <c r="M125" s="1"/>
      <c r="N125" s="1"/>
      <c r="O125" s="1"/>
      <c r="P125" s="10"/>
    </row>
    <row r="126" spans="1:16" x14ac:dyDescent="0.3">
      <c r="A126" s="124"/>
      <c r="B126" s="125"/>
      <c r="C126" s="125"/>
      <c r="D126" s="151" t="s">
        <v>486</v>
      </c>
      <c r="E126" s="5"/>
      <c r="F126" s="1"/>
      <c r="G126" s="1"/>
      <c r="H126" s="1"/>
      <c r="I126" s="1"/>
      <c r="J126" s="1"/>
      <c r="K126" s="1"/>
      <c r="L126" s="1"/>
      <c r="M126" s="1"/>
      <c r="N126" s="1"/>
      <c r="O126" s="1"/>
      <c r="P126" s="10"/>
    </row>
    <row r="127" spans="1:16" x14ac:dyDescent="0.3">
      <c r="A127" s="124"/>
      <c r="B127" s="125"/>
      <c r="C127" s="125"/>
      <c r="D127" s="151" t="s">
        <v>487</v>
      </c>
      <c r="E127" s="5"/>
      <c r="F127" s="1"/>
      <c r="G127" s="1"/>
      <c r="H127" s="1"/>
      <c r="I127" s="1"/>
      <c r="J127" s="1"/>
      <c r="K127" s="1"/>
      <c r="L127" s="1"/>
      <c r="M127" s="1"/>
      <c r="N127" s="1"/>
      <c r="O127" s="1"/>
      <c r="P127" s="10"/>
    </row>
    <row r="128" spans="1:16" x14ac:dyDescent="0.3">
      <c r="A128" s="124"/>
      <c r="B128" s="125"/>
      <c r="C128" s="125"/>
      <c r="D128" s="164" t="s">
        <v>453</v>
      </c>
      <c r="E128" s="5"/>
      <c r="F128" s="1"/>
      <c r="G128" s="1"/>
      <c r="H128" s="1"/>
      <c r="I128" s="1"/>
      <c r="J128" s="1"/>
      <c r="K128" s="1"/>
      <c r="L128" s="1"/>
      <c r="M128" s="1"/>
      <c r="N128" s="1"/>
      <c r="O128" s="1"/>
      <c r="P128" s="10"/>
    </row>
    <row r="129" spans="1:16" x14ac:dyDescent="0.3">
      <c r="A129" s="124"/>
      <c r="B129" s="125"/>
      <c r="C129" s="126" t="s">
        <v>458</v>
      </c>
      <c r="D129" s="151"/>
      <c r="E129" s="5"/>
      <c r="F129" s="1"/>
      <c r="G129" s="1"/>
      <c r="H129" s="1"/>
      <c r="I129" s="1"/>
      <c r="J129" s="1"/>
      <c r="K129" s="1"/>
      <c r="L129" s="1"/>
      <c r="M129" s="1"/>
      <c r="N129" s="1"/>
      <c r="O129" s="1"/>
      <c r="P129" s="10"/>
    </row>
    <row r="130" spans="1:16" x14ac:dyDescent="0.3">
      <c r="A130" s="124"/>
      <c r="B130" s="125"/>
      <c r="C130" s="125"/>
      <c r="D130" s="151" t="s">
        <v>444</v>
      </c>
      <c r="E130" s="5"/>
      <c r="F130" s="1"/>
      <c r="G130" s="1"/>
      <c r="H130" s="1"/>
      <c r="I130" s="1"/>
      <c r="J130" s="1"/>
      <c r="K130" s="1"/>
      <c r="L130" s="1"/>
      <c r="M130" s="1"/>
      <c r="N130" s="1"/>
      <c r="O130" s="1"/>
      <c r="P130" s="10"/>
    </row>
    <row r="131" spans="1:16" x14ac:dyDescent="0.3">
      <c r="A131" s="124"/>
      <c r="B131" s="125"/>
      <c r="C131" s="125"/>
      <c r="D131" s="151" t="s">
        <v>472</v>
      </c>
      <c r="E131" s="5"/>
      <c r="F131" s="1"/>
      <c r="G131" s="1"/>
      <c r="H131" s="1"/>
      <c r="I131" s="1"/>
      <c r="J131" s="1"/>
      <c r="K131" s="1"/>
      <c r="L131" s="1"/>
      <c r="M131" s="1"/>
      <c r="N131" s="1"/>
      <c r="O131" s="1"/>
      <c r="P131" s="10"/>
    </row>
    <row r="132" spans="1:16" x14ac:dyDescent="0.3">
      <c r="A132" s="124"/>
      <c r="B132" s="125"/>
      <c r="C132" s="125"/>
      <c r="D132" s="151" t="s">
        <v>485</v>
      </c>
      <c r="E132" s="5"/>
      <c r="F132" s="1"/>
      <c r="G132" s="1"/>
      <c r="H132" s="1"/>
      <c r="I132" s="1"/>
      <c r="J132" s="1"/>
      <c r="K132" s="1"/>
      <c r="L132" s="1"/>
      <c r="M132" s="1"/>
      <c r="N132" s="1"/>
      <c r="O132" s="1"/>
      <c r="P132" s="10"/>
    </row>
    <row r="133" spans="1:16" x14ac:dyDescent="0.3">
      <c r="A133" s="124"/>
      <c r="B133" s="125"/>
      <c r="C133" s="125"/>
      <c r="D133" s="151" t="s">
        <v>486</v>
      </c>
      <c r="E133" s="5"/>
      <c r="F133" s="1"/>
      <c r="G133" s="1"/>
      <c r="H133" s="1"/>
      <c r="I133" s="1"/>
      <c r="J133" s="1"/>
      <c r="K133" s="1"/>
      <c r="L133" s="1"/>
      <c r="M133" s="1"/>
      <c r="N133" s="1"/>
      <c r="O133" s="1"/>
      <c r="P133" s="10"/>
    </row>
    <row r="134" spans="1:16" x14ac:dyDescent="0.3">
      <c r="A134" s="124"/>
      <c r="B134" s="125"/>
      <c r="C134" s="125"/>
      <c r="D134" s="151" t="s">
        <v>487</v>
      </c>
      <c r="E134" s="5"/>
      <c r="F134" s="1"/>
      <c r="G134" s="1"/>
      <c r="H134" s="1"/>
      <c r="I134" s="1"/>
      <c r="J134" s="1"/>
      <c r="K134" s="1"/>
      <c r="L134" s="1"/>
      <c r="M134" s="1"/>
      <c r="N134" s="1"/>
      <c r="O134" s="1"/>
      <c r="P134" s="10"/>
    </row>
    <row r="135" spans="1:16" x14ac:dyDescent="0.3">
      <c r="A135" s="124"/>
      <c r="B135" s="125"/>
      <c r="C135" s="125"/>
      <c r="D135" s="164" t="s">
        <v>453</v>
      </c>
      <c r="E135" s="5"/>
      <c r="F135" s="1"/>
      <c r="G135" s="1"/>
      <c r="H135" s="1"/>
      <c r="I135" s="1"/>
      <c r="J135" s="1"/>
      <c r="K135" s="1"/>
      <c r="L135" s="1"/>
      <c r="M135" s="1"/>
      <c r="N135" s="1"/>
      <c r="O135" s="1"/>
      <c r="P135" s="10"/>
    </row>
    <row r="136" spans="1:16" x14ac:dyDescent="0.3">
      <c r="A136" s="124"/>
      <c r="B136" s="125" t="s">
        <v>490</v>
      </c>
      <c r="C136" s="125"/>
      <c r="D136" s="151"/>
      <c r="E136" s="5">
        <v>2</v>
      </c>
      <c r="F136" s="1">
        <v>2</v>
      </c>
      <c r="G136" s="1">
        <v>2</v>
      </c>
      <c r="H136" s="1">
        <v>3</v>
      </c>
      <c r="I136" s="1">
        <v>4</v>
      </c>
      <c r="J136" s="1">
        <v>4</v>
      </c>
      <c r="K136" s="1">
        <v>2</v>
      </c>
      <c r="L136" s="1">
        <v>3</v>
      </c>
      <c r="M136" s="1">
        <v>2</v>
      </c>
      <c r="N136" s="1">
        <v>3</v>
      </c>
      <c r="O136" s="1">
        <v>2</v>
      </c>
      <c r="P136" s="10">
        <v>3</v>
      </c>
    </row>
    <row r="137" spans="1:16" x14ac:dyDescent="0.3">
      <c r="A137" s="124"/>
      <c r="B137" s="125"/>
      <c r="C137" s="125" t="s">
        <v>444</v>
      </c>
      <c r="D137" s="151"/>
      <c r="E137" s="5"/>
      <c r="F137" s="1"/>
      <c r="G137" s="1"/>
      <c r="H137" s="1"/>
      <c r="I137" s="1"/>
      <c r="J137" s="1"/>
      <c r="K137" s="1"/>
      <c r="L137" s="1"/>
      <c r="M137" s="1"/>
      <c r="N137" s="1"/>
      <c r="O137" s="1"/>
      <c r="P137" s="10"/>
    </row>
    <row r="138" spans="1:16" x14ac:dyDescent="0.3">
      <c r="A138" s="124"/>
      <c r="B138" s="125"/>
      <c r="C138" s="125" t="s">
        <v>16</v>
      </c>
      <c r="D138" s="151"/>
      <c r="E138" s="5"/>
      <c r="F138" s="1"/>
      <c r="G138" s="1"/>
      <c r="H138" s="1"/>
      <c r="I138" s="1"/>
      <c r="J138" s="1"/>
      <c r="K138" s="1"/>
      <c r="L138" s="1"/>
      <c r="M138" s="1"/>
      <c r="N138" s="1"/>
      <c r="O138" s="1"/>
      <c r="P138" s="10"/>
    </row>
    <row r="139" spans="1:16" x14ac:dyDescent="0.3">
      <c r="A139" s="124"/>
      <c r="B139" s="125"/>
      <c r="C139" s="125" t="s">
        <v>448</v>
      </c>
      <c r="D139" s="151"/>
      <c r="E139" s="5"/>
      <c r="F139" s="1"/>
      <c r="G139" s="1"/>
      <c r="H139" s="1"/>
      <c r="I139" s="1"/>
      <c r="J139" s="1"/>
      <c r="K139" s="1"/>
      <c r="L139" s="1"/>
      <c r="M139" s="1"/>
      <c r="N139" s="1"/>
      <c r="O139" s="1"/>
      <c r="P139" s="10"/>
    </row>
    <row r="140" spans="1:16" x14ac:dyDescent="0.3">
      <c r="A140" s="124"/>
      <c r="B140" s="125"/>
      <c r="C140" s="125" t="s">
        <v>491</v>
      </c>
      <c r="D140" s="151"/>
      <c r="E140" s="5"/>
      <c r="F140" s="1"/>
      <c r="G140" s="1"/>
      <c r="H140" s="1"/>
      <c r="I140" s="1"/>
      <c r="J140" s="1"/>
      <c r="K140" s="1"/>
      <c r="L140" s="1"/>
      <c r="M140" s="1"/>
      <c r="N140" s="1"/>
      <c r="O140" s="1"/>
      <c r="P140" s="10"/>
    </row>
    <row r="141" spans="1:16" x14ac:dyDescent="0.3">
      <c r="A141" s="124"/>
      <c r="B141" s="125"/>
      <c r="C141" s="125" t="s">
        <v>486</v>
      </c>
      <c r="D141" s="151"/>
      <c r="E141" s="5"/>
      <c r="F141" s="1"/>
      <c r="G141" s="1"/>
      <c r="H141" s="1"/>
      <c r="I141" s="1"/>
      <c r="J141" s="1"/>
      <c r="K141" s="1"/>
      <c r="L141" s="1"/>
      <c r="M141" s="1"/>
      <c r="N141" s="1"/>
      <c r="O141" s="1"/>
      <c r="P141" s="10"/>
    </row>
    <row r="142" spans="1:16" x14ac:dyDescent="0.3">
      <c r="A142" s="124"/>
      <c r="B142" s="125" t="s">
        <v>492</v>
      </c>
      <c r="C142" s="125"/>
      <c r="D142" s="151"/>
      <c r="E142" s="5">
        <v>2</v>
      </c>
      <c r="F142" s="1">
        <v>2</v>
      </c>
      <c r="G142" s="1">
        <v>2</v>
      </c>
      <c r="H142" s="1">
        <v>3</v>
      </c>
      <c r="I142" s="1">
        <v>4</v>
      </c>
      <c r="J142" s="1">
        <v>4</v>
      </c>
      <c r="K142" s="1">
        <v>2</v>
      </c>
      <c r="L142" s="1">
        <v>3</v>
      </c>
      <c r="M142" s="1">
        <v>2</v>
      </c>
      <c r="N142" s="1">
        <v>3</v>
      </c>
      <c r="O142" s="1">
        <v>2</v>
      </c>
      <c r="P142" s="10"/>
    </row>
    <row r="143" spans="1:16" x14ac:dyDescent="0.3">
      <c r="A143" s="124"/>
      <c r="B143" s="125"/>
      <c r="C143" s="125" t="s">
        <v>444</v>
      </c>
      <c r="D143" s="151"/>
      <c r="E143" s="5"/>
      <c r="F143" s="1"/>
      <c r="G143" s="1"/>
      <c r="H143" s="1"/>
      <c r="I143" s="1"/>
      <c r="J143" s="1"/>
      <c r="K143" s="1"/>
      <c r="L143" s="1"/>
      <c r="M143" s="1"/>
      <c r="N143" s="1"/>
      <c r="O143" s="1"/>
      <c r="P143" s="10"/>
    </row>
    <row r="144" spans="1:16" x14ac:dyDescent="0.3">
      <c r="A144" s="124"/>
      <c r="B144" s="125"/>
      <c r="C144" s="125" t="s">
        <v>16</v>
      </c>
      <c r="D144" s="151"/>
      <c r="E144" s="5"/>
      <c r="F144" s="1"/>
      <c r="G144" s="1"/>
      <c r="H144" s="1"/>
      <c r="I144" s="1"/>
      <c r="J144" s="1"/>
      <c r="K144" s="1"/>
      <c r="L144" s="1"/>
      <c r="M144" s="1"/>
      <c r="N144" s="1"/>
      <c r="O144" s="1"/>
      <c r="P144" s="10"/>
    </row>
    <row r="145" spans="1:16" x14ac:dyDescent="0.3">
      <c r="A145" s="124"/>
      <c r="B145" s="125"/>
      <c r="C145" s="125" t="s">
        <v>448</v>
      </c>
      <c r="D145" s="151"/>
      <c r="E145" s="5"/>
      <c r="F145" s="1"/>
      <c r="G145" s="1"/>
      <c r="H145" s="1"/>
      <c r="I145" s="1"/>
      <c r="J145" s="1"/>
      <c r="K145" s="1"/>
      <c r="L145" s="1"/>
      <c r="M145" s="1"/>
      <c r="N145" s="1"/>
      <c r="O145" s="1"/>
      <c r="P145" s="10"/>
    </row>
    <row r="146" spans="1:16" x14ac:dyDescent="0.3">
      <c r="A146" s="124"/>
      <c r="B146" s="125"/>
      <c r="C146" s="125" t="s">
        <v>491</v>
      </c>
      <c r="D146" s="151"/>
      <c r="E146" s="5"/>
      <c r="F146" s="1"/>
      <c r="G146" s="1"/>
      <c r="H146" s="1"/>
      <c r="I146" s="1"/>
      <c r="J146" s="1"/>
      <c r="K146" s="1"/>
      <c r="L146" s="1"/>
      <c r="M146" s="1"/>
      <c r="N146" s="1"/>
      <c r="O146" s="1"/>
      <c r="P146" s="10"/>
    </row>
    <row r="147" spans="1:16" x14ac:dyDescent="0.3">
      <c r="A147" s="124"/>
      <c r="B147" s="125"/>
      <c r="C147" s="125" t="s">
        <v>486</v>
      </c>
      <c r="D147" s="151"/>
      <c r="E147" s="5"/>
      <c r="F147" s="1"/>
      <c r="G147" s="1"/>
      <c r="H147" s="1"/>
      <c r="I147" s="1"/>
      <c r="J147" s="1"/>
      <c r="K147" s="1"/>
      <c r="L147" s="1"/>
      <c r="M147" s="1"/>
      <c r="N147" s="1"/>
      <c r="O147" s="1"/>
      <c r="P147" s="10"/>
    </row>
    <row r="148" spans="1:16" x14ac:dyDescent="0.3">
      <c r="A148" s="124"/>
      <c r="B148" s="125" t="s">
        <v>493</v>
      </c>
      <c r="C148" s="125"/>
      <c r="D148" s="151"/>
      <c r="E148" s="5">
        <v>2</v>
      </c>
      <c r="F148" s="1">
        <v>2</v>
      </c>
      <c r="G148" s="1">
        <v>2</v>
      </c>
      <c r="H148" s="1">
        <v>3</v>
      </c>
      <c r="I148" s="1">
        <v>4</v>
      </c>
      <c r="J148" s="1">
        <v>4</v>
      </c>
      <c r="K148" s="1">
        <v>2</v>
      </c>
      <c r="L148" s="1">
        <v>3</v>
      </c>
      <c r="M148" s="1">
        <v>2</v>
      </c>
      <c r="N148" s="1">
        <v>3</v>
      </c>
      <c r="O148" s="1">
        <v>2</v>
      </c>
      <c r="P148" s="10"/>
    </row>
    <row r="149" spans="1:16" x14ac:dyDescent="0.3">
      <c r="A149" s="124"/>
      <c r="B149" s="125"/>
      <c r="C149" s="125" t="s">
        <v>444</v>
      </c>
      <c r="D149" s="151"/>
      <c r="E149" s="5"/>
      <c r="F149" s="1"/>
      <c r="G149" s="1"/>
      <c r="H149" s="1"/>
      <c r="I149" s="1"/>
      <c r="J149" s="1"/>
      <c r="K149" s="1"/>
      <c r="L149" s="1"/>
      <c r="M149" s="1"/>
      <c r="N149" s="1"/>
      <c r="O149" s="1"/>
      <c r="P149" s="10"/>
    </row>
    <row r="150" spans="1:16" x14ac:dyDescent="0.3">
      <c r="A150" s="124"/>
      <c r="B150" s="125"/>
      <c r="C150" s="125" t="s">
        <v>16</v>
      </c>
      <c r="D150" s="151"/>
      <c r="E150" s="5"/>
      <c r="F150" s="1"/>
      <c r="G150" s="1"/>
      <c r="H150" s="1"/>
      <c r="I150" s="1"/>
      <c r="J150" s="1"/>
      <c r="K150" s="1"/>
      <c r="L150" s="1"/>
      <c r="M150" s="1"/>
      <c r="N150" s="1"/>
      <c r="O150" s="1"/>
      <c r="P150" s="10"/>
    </row>
    <row r="151" spans="1:16" x14ac:dyDescent="0.3">
      <c r="A151" s="124"/>
      <c r="B151" s="125"/>
      <c r="C151" s="125" t="s">
        <v>448</v>
      </c>
      <c r="D151" s="151"/>
      <c r="E151" s="5"/>
      <c r="F151" s="1"/>
      <c r="G151" s="1"/>
      <c r="H151" s="1"/>
      <c r="I151" s="1"/>
      <c r="J151" s="1"/>
      <c r="K151" s="1"/>
      <c r="L151" s="1"/>
      <c r="M151" s="1"/>
      <c r="N151" s="1"/>
      <c r="O151" s="1"/>
      <c r="P151" s="10"/>
    </row>
    <row r="152" spans="1:16" x14ac:dyDescent="0.3">
      <c r="A152" s="124"/>
      <c r="B152" s="125"/>
      <c r="C152" s="125" t="s">
        <v>494</v>
      </c>
      <c r="D152" s="151"/>
      <c r="E152" s="5"/>
      <c r="F152" s="1"/>
      <c r="G152" s="1"/>
      <c r="H152" s="1"/>
      <c r="I152" s="1"/>
      <c r="J152" s="1"/>
      <c r="K152" s="1"/>
      <c r="L152" s="1"/>
      <c r="M152" s="1"/>
      <c r="N152" s="1"/>
      <c r="O152" s="1"/>
      <c r="P152" s="10"/>
    </row>
    <row r="153" spans="1:16" x14ac:dyDescent="0.3">
      <c r="A153" s="124"/>
      <c r="B153" s="125" t="s">
        <v>495</v>
      </c>
      <c r="C153" s="125"/>
      <c r="D153" s="151"/>
      <c r="E153" s="5">
        <v>2</v>
      </c>
      <c r="F153" s="1">
        <v>2</v>
      </c>
      <c r="G153" s="1">
        <v>2</v>
      </c>
      <c r="H153" s="1">
        <v>3</v>
      </c>
      <c r="I153" s="1">
        <v>4</v>
      </c>
      <c r="J153" s="1">
        <v>4</v>
      </c>
      <c r="K153" s="1">
        <v>2</v>
      </c>
      <c r="L153" s="1">
        <v>3</v>
      </c>
      <c r="M153" s="1">
        <v>2</v>
      </c>
      <c r="N153" s="1">
        <v>3</v>
      </c>
      <c r="O153" s="1">
        <v>2</v>
      </c>
      <c r="P153" s="10"/>
    </row>
    <row r="154" spans="1:16" x14ac:dyDescent="0.3">
      <c r="A154" s="124"/>
      <c r="B154" s="125"/>
      <c r="C154" s="125" t="s">
        <v>444</v>
      </c>
      <c r="D154" s="151"/>
      <c r="E154" s="5"/>
      <c r="F154" s="1"/>
      <c r="G154" s="1"/>
      <c r="H154" s="1"/>
      <c r="I154" s="1"/>
      <c r="J154" s="1"/>
      <c r="K154" s="1"/>
      <c r="L154" s="1"/>
      <c r="M154" s="1"/>
      <c r="N154" s="1"/>
      <c r="O154" s="1"/>
      <c r="P154" s="10"/>
    </row>
    <row r="155" spans="1:16" x14ac:dyDescent="0.3">
      <c r="A155" s="124"/>
      <c r="B155" s="125"/>
      <c r="C155" s="125" t="s">
        <v>16</v>
      </c>
      <c r="D155" s="151"/>
      <c r="E155" s="5"/>
      <c r="F155" s="1"/>
      <c r="G155" s="1"/>
      <c r="H155" s="1"/>
      <c r="I155" s="1"/>
      <c r="J155" s="1"/>
      <c r="K155" s="1"/>
      <c r="L155" s="1"/>
      <c r="M155" s="1"/>
      <c r="N155" s="1"/>
      <c r="O155" s="1"/>
      <c r="P155" s="10"/>
    </row>
    <row r="156" spans="1:16" x14ac:dyDescent="0.3">
      <c r="A156" s="124"/>
      <c r="B156" s="125"/>
      <c r="C156" s="125" t="s">
        <v>448</v>
      </c>
      <c r="D156" s="151"/>
      <c r="E156" s="5"/>
      <c r="F156" s="1"/>
      <c r="G156" s="1"/>
      <c r="H156" s="1"/>
      <c r="I156" s="1"/>
      <c r="J156" s="1"/>
      <c r="K156" s="1"/>
      <c r="L156" s="1"/>
      <c r="M156" s="1"/>
      <c r="N156" s="1"/>
      <c r="O156" s="1"/>
      <c r="P156" s="10"/>
    </row>
    <row r="157" spans="1:16" x14ac:dyDescent="0.3">
      <c r="A157" s="124"/>
      <c r="B157" s="125"/>
      <c r="C157" s="125" t="s">
        <v>496</v>
      </c>
      <c r="D157" s="151"/>
      <c r="E157" s="5"/>
      <c r="F157" s="1"/>
      <c r="G157" s="1"/>
      <c r="H157" s="1"/>
      <c r="I157" s="1"/>
      <c r="J157" s="1"/>
      <c r="K157" s="1"/>
      <c r="L157" s="1"/>
      <c r="M157" s="1"/>
      <c r="N157" s="1"/>
      <c r="O157" s="1"/>
      <c r="P157" s="10"/>
    </row>
    <row r="158" spans="1:16" x14ac:dyDescent="0.3">
      <c r="A158" s="124"/>
      <c r="B158" s="125" t="s">
        <v>497</v>
      </c>
      <c r="C158" s="125"/>
      <c r="D158" s="151"/>
      <c r="E158" s="5">
        <v>2</v>
      </c>
      <c r="F158" s="1">
        <v>2</v>
      </c>
      <c r="G158" s="1">
        <v>2</v>
      </c>
      <c r="H158" s="1">
        <v>3</v>
      </c>
      <c r="I158" s="1">
        <v>4</v>
      </c>
      <c r="J158" s="1">
        <v>4</v>
      </c>
      <c r="K158" s="1">
        <v>2</v>
      </c>
      <c r="L158" s="1">
        <v>3</v>
      </c>
      <c r="M158" s="1">
        <v>2</v>
      </c>
      <c r="N158" s="1">
        <v>3</v>
      </c>
      <c r="O158" s="1">
        <v>2</v>
      </c>
      <c r="P158" s="10"/>
    </row>
    <row r="159" spans="1:16" x14ac:dyDescent="0.3">
      <c r="A159" s="124"/>
      <c r="B159" s="125"/>
      <c r="C159" s="125" t="s">
        <v>444</v>
      </c>
      <c r="D159" s="151"/>
      <c r="E159" s="5"/>
      <c r="F159" s="1"/>
      <c r="G159" s="1"/>
      <c r="H159" s="1"/>
      <c r="I159" s="1"/>
      <c r="J159" s="1"/>
      <c r="K159" s="1"/>
      <c r="L159" s="1"/>
      <c r="M159" s="1"/>
      <c r="N159" s="1"/>
      <c r="O159" s="1"/>
      <c r="P159" s="10"/>
    </row>
    <row r="160" spans="1:16" x14ac:dyDescent="0.3">
      <c r="A160" s="124"/>
      <c r="B160" s="125"/>
      <c r="C160" s="125" t="s">
        <v>16</v>
      </c>
      <c r="D160" s="151"/>
      <c r="E160" s="5"/>
      <c r="F160" s="1"/>
      <c r="G160" s="1"/>
      <c r="H160" s="1"/>
      <c r="I160" s="1"/>
      <c r="J160" s="1"/>
      <c r="K160" s="1"/>
      <c r="L160" s="1"/>
      <c r="M160" s="1"/>
      <c r="N160" s="1"/>
      <c r="O160" s="1"/>
      <c r="P160" s="10"/>
    </row>
    <row r="161" spans="1:16" x14ac:dyDescent="0.3">
      <c r="A161" s="124"/>
      <c r="B161" s="125"/>
      <c r="C161" s="125" t="s">
        <v>448</v>
      </c>
      <c r="D161" s="151"/>
      <c r="E161" s="5"/>
      <c r="F161" s="1"/>
      <c r="G161" s="1"/>
      <c r="H161" s="1"/>
      <c r="I161" s="1"/>
      <c r="J161" s="1"/>
      <c r="K161" s="1"/>
      <c r="L161" s="1"/>
      <c r="M161" s="1"/>
      <c r="N161" s="1"/>
      <c r="O161" s="1"/>
      <c r="P161" s="10"/>
    </row>
    <row r="162" spans="1:16" x14ac:dyDescent="0.3">
      <c r="A162" s="124"/>
      <c r="B162" s="125"/>
      <c r="C162" s="125" t="s">
        <v>496</v>
      </c>
      <c r="D162" s="151"/>
      <c r="E162" s="5"/>
      <c r="F162" s="1"/>
      <c r="G162" s="1"/>
      <c r="H162" s="1"/>
      <c r="I162" s="1"/>
      <c r="J162" s="1"/>
      <c r="K162" s="1"/>
      <c r="L162" s="1"/>
      <c r="M162" s="1"/>
      <c r="N162" s="1"/>
      <c r="O162" s="1"/>
      <c r="P162" s="10"/>
    </row>
    <row r="163" spans="1:16" x14ac:dyDescent="0.3">
      <c r="A163" s="124" t="s">
        <v>498</v>
      </c>
      <c r="B163" s="125"/>
      <c r="C163" s="125"/>
      <c r="D163" s="151"/>
      <c r="E163" s="5">
        <v>2</v>
      </c>
      <c r="F163" s="1">
        <v>2</v>
      </c>
      <c r="G163" s="1">
        <v>2</v>
      </c>
      <c r="H163" s="1">
        <v>3</v>
      </c>
      <c r="I163" s="1">
        <v>4</v>
      </c>
      <c r="J163" s="1">
        <v>4</v>
      </c>
      <c r="K163" s="1">
        <v>2</v>
      </c>
      <c r="L163" s="1">
        <v>3</v>
      </c>
      <c r="M163" s="1">
        <v>2</v>
      </c>
      <c r="N163" s="1">
        <v>3</v>
      </c>
      <c r="O163" s="1">
        <v>2</v>
      </c>
      <c r="P163" s="10">
        <v>1</v>
      </c>
    </row>
    <row r="164" spans="1:16" x14ac:dyDescent="0.3">
      <c r="A164" s="124"/>
      <c r="B164" s="125" t="s">
        <v>476</v>
      </c>
      <c r="C164" s="125"/>
      <c r="D164" s="151"/>
      <c r="E164" s="5"/>
      <c r="F164" s="1"/>
      <c r="G164" s="1"/>
      <c r="H164" s="1"/>
      <c r="I164" s="1"/>
      <c r="J164" s="1"/>
      <c r="K164" s="1"/>
      <c r="L164" s="1"/>
      <c r="M164" s="1"/>
      <c r="N164" s="1"/>
      <c r="O164" s="1"/>
      <c r="P164" s="10"/>
    </row>
    <row r="165" spans="1:16" x14ac:dyDescent="0.3">
      <c r="A165" s="124"/>
      <c r="B165" s="125" t="s">
        <v>479</v>
      </c>
      <c r="C165" s="125"/>
      <c r="D165" s="151"/>
      <c r="E165" s="5"/>
      <c r="F165" s="1"/>
      <c r="G165" s="1"/>
      <c r="H165" s="1"/>
      <c r="I165" s="1"/>
      <c r="J165" s="1"/>
      <c r="K165" s="1"/>
      <c r="L165" s="1"/>
      <c r="M165" s="1"/>
      <c r="N165" s="1"/>
      <c r="O165" s="1"/>
      <c r="P165" s="10"/>
    </row>
    <row r="166" spans="1:16" x14ac:dyDescent="0.3">
      <c r="A166" s="124"/>
      <c r="B166" s="125" t="s">
        <v>499</v>
      </c>
      <c r="C166" s="125"/>
      <c r="D166" s="151"/>
      <c r="E166" s="5"/>
      <c r="F166" s="1"/>
      <c r="G166" s="1"/>
      <c r="H166" s="1"/>
      <c r="I166" s="1"/>
      <c r="J166" s="1"/>
      <c r="K166" s="1"/>
      <c r="L166" s="1"/>
      <c r="M166" s="1"/>
      <c r="N166" s="1"/>
      <c r="O166" s="1"/>
      <c r="P166" s="10"/>
    </row>
    <row r="167" spans="1:16" x14ac:dyDescent="0.3">
      <c r="A167" s="124"/>
      <c r="B167" s="127" t="s">
        <v>458</v>
      </c>
      <c r="C167" s="125"/>
      <c r="D167" s="151"/>
      <c r="E167" s="5"/>
      <c r="F167" s="1"/>
      <c r="G167" s="1"/>
      <c r="H167" s="1"/>
      <c r="I167" s="1"/>
      <c r="J167" s="1"/>
      <c r="K167" s="1"/>
      <c r="L167" s="1"/>
      <c r="M167" s="1"/>
      <c r="N167" s="1"/>
      <c r="O167" s="1"/>
      <c r="P167" s="10"/>
    </row>
    <row r="168" spans="1:16" x14ac:dyDescent="0.3">
      <c r="A168" s="124"/>
      <c r="B168" s="125"/>
      <c r="C168" s="128" t="s">
        <v>500</v>
      </c>
      <c r="D168" s="151"/>
      <c r="E168" s="5">
        <v>1</v>
      </c>
      <c r="F168" s="1">
        <v>1</v>
      </c>
      <c r="G168" s="1">
        <v>1</v>
      </c>
      <c r="H168" s="1">
        <v>2</v>
      </c>
      <c r="I168" s="1">
        <v>2</v>
      </c>
      <c r="J168" s="1">
        <v>2</v>
      </c>
      <c r="K168" s="1">
        <v>1</v>
      </c>
      <c r="L168" s="1">
        <v>2</v>
      </c>
      <c r="M168" s="1">
        <v>1</v>
      </c>
      <c r="N168" s="1">
        <v>2</v>
      </c>
      <c r="O168" s="1">
        <v>1</v>
      </c>
      <c r="P168" s="10">
        <v>1</v>
      </c>
    </row>
    <row r="169" spans="1:16" x14ac:dyDescent="0.3">
      <c r="A169" s="124"/>
      <c r="B169" s="126"/>
      <c r="C169" s="125"/>
      <c r="D169" s="151" t="s">
        <v>16</v>
      </c>
      <c r="E169" s="5"/>
      <c r="F169" s="1"/>
      <c r="G169" s="1"/>
      <c r="H169" s="1"/>
      <c r="I169" s="1"/>
      <c r="J169" s="1"/>
      <c r="K169" s="1"/>
      <c r="L169" s="1"/>
      <c r="M169" s="1"/>
      <c r="N169" s="1"/>
      <c r="O169" s="1"/>
      <c r="P169" s="10"/>
    </row>
    <row r="170" spans="1:16" x14ac:dyDescent="0.3">
      <c r="A170" s="124"/>
      <c r="B170" s="126"/>
      <c r="C170" s="125"/>
      <c r="D170" s="151" t="s">
        <v>448</v>
      </c>
      <c r="E170" s="5"/>
      <c r="F170" s="1"/>
      <c r="G170" s="1"/>
      <c r="H170" s="1"/>
      <c r="I170" s="1"/>
      <c r="J170" s="1"/>
      <c r="K170" s="1"/>
      <c r="L170" s="1"/>
      <c r="M170" s="1"/>
      <c r="N170" s="1"/>
      <c r="O170" s="1"/>
      <c r="P170" s="10"/>
    </row>
    <row r="171" spans="1:16" x14ac:dyDescent="0.3">
      <c r="A171" s="124"/>
      <c r="B171" s="129"/>
      <c r="C171" s="125"/>
      <c r="D171" s="151" t="s">
        <v>444</v>
      </c>
      <c r="E171" s="5"/>
      <c r="F171" s="1"/>
      <c r="G171" s="1"/>
      <c r="H171" s="1"/>
      <c r="I171" s="1"/>
      <c r="J171" s="1"/>
      <c r="K171" s="1"/>
      <c r="L171" s="1"/>
      <c r="M171" s="1"/>
      <c r="N171" s="1"/>
      <c r="O171" s="1"/>
      <c r="P171" s="10"/>
    </row>
    <row r="172" spans="1:16" x14ac:dyDescent="0.3">
      <c r="A172" s="124"/>
      <c r="B172" s="126"/>
      <c r="C172" s="125"/>
      <c r="D172" s="151" t="s">
        <v>491</v>
      </c>
      <c r="E172" s="5"/>
      <c r="F172" s="1"/>
      <c r="G172" s="1"/>
      <c r="H172" s="1"/>
      <c r="I172" s="1"/>
      <c r="J172" s="1"/>
      <c r="K172" s="1"/>
      <c r="L172" s="1"/>
      <c r="M172" s="1"/>
      <c r="N172" s="1"/>
      <c r="O172" s="1"/>
      <c r="P172" s="10"/>
    </row>
    <row r="173" spans="1:16" x14ac:dyDescent="0.3">
      <c r="A173" s="124"/>
      <c r="B173" s="125"/>
      <c r="C173" s="128" t="s">
        <v>501</v>
      </c>
      <c r="D173" s="151"/>
      <c r="E173" s="5">
        <v>1</v>
      </c>
      <c r="F173" s="1">
        <v>1</v>
      </c>
      <c r="G173" s="1">
        <v>1</v>
      </c>
      <c r="H173" s="1">
        <v>2</v>
      </c>
      <c r="I173" s="1">
        <v>2</v>
      </c>
      <c r="J173" s="1">
        <v>2</v>
      </c>
      <c r="K173" s="1">
        <v>1</v>
      </c>
      <c r="L173" s="1">
        <v>2</v>
      </c>
      <c r="M173" s="1">
        <v>1</v>
      </c>
      <c r="N173" s="1">
        <v>2</v>
      </c>
      <c r="O173" s="1">
        <v>1</v>
      </c>
      <c r="P173" s="10">
        <v>1</v>
      </c>
    </row>
    <row r="174" spans="1:16" x14ac:dyDescent="0.3">
      <c r="A174" s="124"/>
      <c r="B174" s="125"/>
      <c r="C174" s="128"/>
      <c r="D174" s="151" t="s">
        <v>16</v>
      </c>
      <c r="E174" s="5"/>
      <c r="F174" s="1"/>
      <c r="G174" s="1"/>
      <c r="H174" s="1"/>
      <c r="I174" s="1"/>
      <c r="J174" s="1"/>
      <c r="K174" s="1"/>
      <c r="L174" s="1"/>
      <c r="M174" s="1"/>
      <c r="N174" s="1"/>
      <c r="O174" s="1"/>
      <c r="P174" s="10"/>
    </row>
    <row r="175" spans="1:16" x14ac:dyDescent="0.3">
      <c r="A175" s="124"/>
      <c r="B175" s="125"/>
      <c r="C175" s="128"/>
      <c r="D175" s="151" t="s">
        <v>448</v>
      </c>
      <c r="E175" s="5"/>
      <c r="F175" s="1"/>
      <c r="G175" s="1"/>
      <c r="H175" s="1"/>
      <c r="I175" s="1"/>
      <c r="J175" s="1"/>
      <c r="K175" s="1"/>
      <c r="L175" s="1"/>
      <c r="M175" s="1"/>
      <c r="N175" s="1"/>
      <c r="O175" s="1"/>
      <c r="P175" s="10"/>
    </row>
    <row r="176" spans="1:16" x14ac:dyDescent="0.3">
      <c r="A176" s="124"/>
      <c r="B176" s="125"/>
      <c r="C176" s="128"/>
      <c r="D176" s="151" t="s">
        <v>444</v>
      </c>
      <c r="E176" s="5"/>
      <c r="F176" s="1"/>
      <c r="G176" s="1"/>
      <c r="H176" s="1"/>
      <c r="I176" s="1"/>
      <c r="J176" s="1"/>
      <c r="K176" s="1"/>
      <c r="L176" s="1"/>
      <c r="M176" s="1"/>
      <c r="N176" s="1"/>
      <c r="O176" s="1"/>
      <c r="P176" s="10"/>
    </row>
    <row r="177" spans="1:16" x14ac:dyDescent="0.3">
      <c r="A177" s="124"/>
      <c r="B177" s="125"/>
      <c r="C177" s="128"/>
      <c r="D177" s="151" t="s">
        <v>491</v>
      </c>
      <c r="E177" s="5"/>
      <c r="F177" s="1"/>
      <c r="G177" s="1"/>
      <c r="H177" s="1"/>
      <c r="I177" s="1"/>
      <c r="J177" s="1"/>
      <c r="K177" s="1"/>
      <c r="L177" s="1"/>
      <c r="M177" s="1"/>
      <c r="N177" s="1"/>
      <c r="O177" s="1"/>
      <c r="P177" s="10"/>
    </row>
    <row r="178" spans="1:16" x14ac:dyDescent="0.3">
      <c r="A178" s="124"/>
      <c r="B178" s="125"/>
      <c r="C178" s="128" t="s">
        <v>502</v>
      </c>
      <c r="D178" s="151"/>
      <c r="E178" s="5">
        <v>1</v>
      </c>
      <c r="F178" s="1">
        <v>1</v>
      </c>
      <c r="G178" s="1">
        <v>1</v>
      </c>
      <c r="H178" s="1">
        <v>2</v>
      </c>
      <c r="I178" s="1">
        <v>2</v>
      </c>
      <c r="J178" s="1">
        <v>2</v>
      </c>
      <c r="K178" s="1">
        <v>1</v>
      </c>
      <c r="L178" s="1">
        <v>2</v>
      </c>
      <c r="M178" s="1">
        <v>1</v>
      </c>
      <c r="N178" s="1">
        <v>2</v>
      </c>
      <c r="O178" s="1">
        <v>1</v>
      </c>
      <c r="P178" s="10">
        <v>1</v>
      </c>
    </row>
    <row r="179" spans="1:16" x14ac:dyDescent="0.3">
      <c r="A179" s="124"/>
      <c r="B179" s="126"/>
      <c r="C179" s="125"/>
      <c r="D179" s="151" t="s">
        <v>16</v>
      </c>
      <c r="E179" s="5"/>
      <c r="F179" s="1"/>
      <c r="G179" s="1"/>
      <c r="H179" s="1"/>
      <c r="I179" s="1"/>
      <c r="J179" s="1"/>
      <c r="K179" s="1"/>
      <c r="L179" s="1"/>
      <c r="M179" s="1"/>
      <c r="N179" s="1"/>
      <c r="O179" s="1"/>
      <c r="P179" s="10"/>
    </row>
    <row r="180" spans="1:16" x14ac:dyDescent="0.3">
      <c r="A180" s="124"/>
      <c r="B180" s="126"/>
      <c r="C180" s="125"/>
      <c r="D180" s="151" t="s">
        <v>448</v>
      </c>
      <c r="E180" s="5"/>
      <c r="F180" s="1"/>
      <c r="G180" s="1"/>
      <c r="H180" s="1"/>
      <c r="I180" s="1"/>
      <c r="J180" s="1"/>
      <c r="K180" s="1"/>
      <c r="L180" s="1"/>
      <c r="M180" s="1"/>
      <c r="N180" s="1"/>
      <c r="O180" s="1"/>
      <c r="P180" s="10"/>
    </row>
    <row r="181" spans="1:16" x14ac:dyDescent="0.3">
      <c r="A181" s="124"/>
      <c r="B181" s="126"/>
      <c r="C181" s="125"/>
      <c r="D181" s="151" t="s">
        <v>444</v>
      </c>
      <c r="E181" s="5"/>
      <c r="F181" s="1"/>
      <c r="G181" s="1"/>
      <c r="H181" s="1"/>
      <c r="I181" s="1"/>
      <c r="J181" s="1"/>
      <c r="K181" s="1"/>
      <c r="L181" s="1"/>
      <c r="M181" s="1"/>
      <c r="N181" s="1"/>
      <c r="O181" s="1"/>
      <c r="P181" s="10"/>
    </row>
    <row r="182" spans="1:16" x14ac:dyDescent="0.3">
      <c r="A182" s="124"/>
      <c r="B182" s="126"/>
      <c r="C182" s="125"/>
      <c r="D182" s="151" t="s">
        <v>491</v>
      </c>
      <c r="E182" s="5"/>
      <c r="F182" s="1"/>
      <c r="G182" s="1"/>
      <c r="H182" s="1"/>
      <c r="I182" s="1"/>
      <c r="J182" s="1"/>
      <c r="K182" s="1"/>
      <c r="L182" s="1"/>
      <c r="M182" s="1"/>
      <c r="N182" s="1"/>
      <c r="O182" s="1"/>
      <c r="P182" s="10"/>
    </row>
    <row r="183" spans="1:16" x14ac:dyDescent="0.3">
      <c r="A183" s="124"/>
      <c r="B183" s="127" t="s">
        <v>462</v>
      </c>
      <c r="C183" s="125"/>
      <c r="D183" s="151"/>
      <c r="E183" s="5"/>
      <c r="F183" s="1"/>
      <c r="G183" s="1"/>
      <c r="H183" s="1"/>
      <c r="I183" s="1"/>
      <c r="J183" s="1"/>
      <c r="K183" s="1"/>
      <c r="L183" s="1"/>
      <c r="M183" s="1"/>
      <c r="N183" s="1"/>
      <c r="O183" s="1"/>
      <c r="P183" s="10"/>
    </row>
    <row r="184" spans="1:16" x14ac:dyDescent="0.3">
      <c r="A184" s="124"/>
      <c r="B184" s="125"/>
      <c r="C184" s="128" t="s">
        <v>500</v>
      </c>
      <c r="D184" s="151"/>
      <c r="E184" s="5">
        <v>1</v>
      </c>
      <c r="F184" s="1">
        <v>1</v>
      </c>
      <c r="G184" s="1">
        <v>1</v>
      </c>
      <c r="H184" s="1">
        <v>2</v>
      </c>
      <c r="I184" s="1">
        <v>2</v>
      </c>
      <c r="J184" s="1">
        <v>2</v>
      </c>
      <c r="K184" s="1">
        <v>1</v>
      </c>
      <c r="L184" s="1">
        <v>2</v>
      </c>
      <c r="M184" s="1">
        <v>1</v>
      </c>
      <c r="N184" s="1">
        <v>2</v>
      </c>
      <c r="O184" s="1">
        <v>1</v>
      </c>
      <c r="P184" s="10">
        <v>1</v>
      </c>
    </row>
    <row r="185" spans="1:16" x14ac:dyDescent="0.3">
      <c r="A185" s="124"/>
      <c r="B185" s="125"/>
      <c r="C185" s="128"/>
      <c r="D185" s="151" t="s">
        <v>16</v>
      </c>
      <c r="E185" s="5"/>
      <c r="F185" s="1"/>
      <c r="G185" s="1"/>
      <c r="H185" s="1"/>
      <c r="I185" s="1"/>
      <c r="J185" s="1"/>
      <c r="K185" s="1"/>
      <c r="L185" s="1"/>
      <c r="M185" s="1"/>
      <c r="N185" s="1"/>
      <c r="O185" s="1"/>
      <c r="P185" s="10"/>
    </row>
    <row r="186" spans="1:16" x14ac:dyDescent="0.3">
      <c r="A186" s="124"/>
      <c r="B186" s="125"/>
      <c r="C186" s="128"/>
      <c r="D186" s="151" t="s">
        <v>448</v>
      </c>
      <c r="E186" s="5"/>
      <c r="F186" s="1"/>
      <c r="G186" s="1"/>
      <c r="H186" s="1"/>
      <c r="I186" s="1"/>
      <c r="J186" s="1"/>
      <c r="K186" s="1"/>
      <c r="L186" s="1"/>
      <c r="M186" s="1"/>
      <c r="N186" s="1"/>
      <c r="O186" s="1"/>
      <c r="P186" s="10"/>
    </row>
    <row r="187" spans="1:16" x14ac:dyDescent="0.3">
      <c r="A187" s="124"/>
      <c r="B187" s="125"/>
      <c r="C187" s="126"/>
      <c r="D187" s="151" t="s">
        <v>444</v>
      </c>
      <c r="E187" s="5"/>
      <c r="F187" s="1"/>
      <c r="G187" s="1"/>
      <c r="H187" s="1"/>
      <c r="I187" s="1"/>
      <c r="J187" s="1"/>
      <c r="K187" s="1"/>
      <c r="L187" s="1"/>
      <c r="M187" s="1"/>
      <c r="N187" s="1"/>
      <c r="O187" s="1"/>
      <c r="P187" s="10"/>
    </row>
    <row r="188" spans="1:16" x14ac:dyDescent="0.3">
      <c r="A188" s="124"/>
      <c r="B188" s="125"/>
      <c r="C188" s="128"/>
      <c r="D188" s="151" t="s">
        <v>491</v>
      </c>
      <c r="E188" s="5"/>
      <c r="F188" s="1"/>
      <c r="G188" s="1"/>
      <c r="H188" s="1"/>
      <c r="I188" s="1"/>
      <c r="J188" s="1"/>
      <c r="K188" s="1"/>
      <c r="L188" s="1"/>
      <c r="M188" s="1"/>
      <c r="N188" s="1"/>
      <c r="O188" s="1"/>
      <c r="P188" s="10"/>
    </row>
    <row r="189" spans="1:16" x14ac:dyDescent="0.3">
      <c r="A189" s="124"/>
      <c r="B189" s="125"/>
      <c r="C189" s="128" t="s">
        <v>501</v>
      </c>
      <c r="D189" s="151"/>
      <c r="E189" s="5">
        <v>1</v>
      </c>
      <c r="F189" s="1">
        <v>1</v>
      </c>
      <c r="G189" s="1">
        <v>1</v>
      </c>
      <c r="H189" s="1">
        <v>2</v>
      </c>
      <c r="I189" s="1">
        <v>2</v>
      </c>
      <c r="J189" s="1">
        <v>2</v>
      </c>
      <c r="K189" s="1">
        <v>1</v>
      </c>
      <c r="L189" s="1">
        <v>2</v>
      </c>
      <c r="M189" s="1">
        <v>1</v>
      </c>
      <c r="N189" s="1">
        <v>2</v>
      </c>
      <c r="O189" s="1">
        <v>1</v>
      </c>
      <c r="P189" s="10">
        <v>1</v>
      </c>
    </row>
    <row r="190" spans="1:16" x14ac:dyDescent="0.3">
      <c r="A190" s="124"/>
      <c r="B190" s="125"/>
      <c r="C190" s="128"/>
      <c r="D190" s="151" t="s">
        <v>16</v>
      </c>
      <c r="E190" s="5"/>
      <c r="F190" s="1"/>
      <c r="G190" s="1"/>
      <c r="H190" s="1"/>
      <c r="I190" s="1"/>
      <c r="J190" s="1"/>
      <c r="K190" s="1"/>
      <c r="L190" s="1"/>
      <c r="M190" s="1"/>
      <c r="N190" s="1"/>
      <c r="O190" s="1"/>
      <c r="P190" s="10"/>
    </row>
    <row r="191" spans="1:16" x14ac:dyDescent="0.3">
      <c r="A191" s="124"/>
      <c r="B191" s="125"/>
      <c r="C191" s="128"/>
      <c r="D191" s="151" t="s">
        <v>448</v>
      </c>
      <c r="E191" s="5"/>
      <c r="F191" s="1"/>
      <c r="G191" s="1"/>
      <c r="H191" s="1"/>
      <c r="I191" s="1"/>
      <c r="J191" s="1"/>
      <c r="K191" s="1"/>
      <c r="L191" s="1"/>
      <c r="M191" s="1"/>
      <c r="N191" s="1"/>
      <c r="O191" s="1"/>
      <c r="P191" s="10"/>
    </row>
    <row r="192" spans="1:16" x14ac:dyDescent="0.3">
      <c r="A192" s="124"/>
      <c r="B192" s="125"/>
      <c r="C192" s="128"/>
      <c r="D192" s="151" t="s">
        <v>444</v>
      </c>
      <c r="E192" s="5"/>
      <c r="F192" s="1"/>
      <c r="G192" s="1"/>
      <c r="H192" s="1"/>
      <c r="I192" s="1"/>
      <c r="J192" s="1"/>
      <c r="K192" s="1"/>
      <c r="L192" s="1"/>
      <c r="M192" s="1"/>
      <c r="N192" s="1"/>
      <c r="O192" s="1"/>
      <c r="P192" s="10"/>
    </row>
    <row r="193" spans="1:16" x14ac:dyDescent="0.3">
      <c r="A193" s="124"/>
      <c r="B193" s="125"/>
      <c r="C193" s="128"/>
      <c r="D193" s="151" t="s">
        <v>491</v>
      </c>
      <c r="E193" s="5"/>
      <c r="F193" s="1"/>
      <c r="G193" s="1"/>
      <c r="H193" s="1"/>
      <c r="I193" s="1"/>
      <c r="J193" s="1"/>
      <c r="K193" s="1"/>
      <c r="L193" s="1"/>
      <c r="M193" s="1"/>
      <c r="N193" s="1"/>
      <c r="O193" s="1"/>
      <c r="P193" s="10"/>
    </row>
    <row r="194" spans="1:16" x14ac:dyDescent="0.3">
      <c r="A194" s="124"/>
      <c r="B194" s="125"/>
      <c r="C194" s="128"/>
      <c r="D194" s="151"/>
      <c r="E194" s="5"/>
      <c r="F194" s="1"/>
      <c r="G194" s="1"/>
      <c r="H194" s="1"/>
      <c r="I194" s="1"/>
      <c r="J194" s="1"/>
      <c r="K194" s="1"/>
      <c r="L194" s="1"/>
      <c r="M194" s="1"/>
      <c r="N194" s="1"/>
      <c r="O194" s="1"/>
      <c r="P194" s="10"/>
    </row>
    <row r="195" spans="1:16" x14ac:dyDescent="0.3">
      <c r="A195" s="124"/>
      <c r="B195" s="125"/>
      <c r="C195" s="128" t="s">
        <v>502</v>
      </c>
      <c r="D195" s="151"/>
      <c r="E195" s="5">
        <v>1</v>
      </c>
      <c r="F195" s="1">
        <v>1</v>
      </c>
      <c r="G195" s="1">
        <v>1</v>
      </c>
      <c r="H195" s="1">
        <v>2</v>
      </c>
      <c r="I195" s="1">
        <v>2</v>
      </c>
      <c r="J195" s="1">
        <v>2</v>
      </c>
      <c r="K195" s="1">
        <v>1</v>
      </c>
      <c r="L195" s="1">
        <v>2</v>
      </c>
      <c r="M195" s="1">
        <v>1</v>
      </c>
      <c r="N195" s="1">
        <v>2</v>
      </c>
      <c r="O195" s="1">
        <v>1</v>
      </c>
      <c r="P195" s="10">
        <v>1</v>
      </c>
    </row>
    <row r="196" spans="1:16" x14ac:dyDescent="0.3">
      <c r="A196" s="124"/>
      <c r="B196" s="125"/>
      <c r="C196" s="128"/>
      <c r="D196" s="151" t="s">
        <v>16</v>
      </c>
      <c r="E196" s="5"/>
      <c r="F196" s="1"/>
      <c r="G196" s="1"/>
      <c r="H196" s="1"/>
      <c r="I196" s="1"/>
      <c r="J196" s="1"/>
      <c r="K196" s="1"/>
      <c r="L196" s="1"/>
      <c r="M196" s="1"/>
      <c r="N196" s="1"/>
      <c r="O196" s="1"/>
      <c r="P196" s="10"/>
    </row>
    <row r="197" spans="1:16" x14ac:dyDescent="0.3">
      <c r="A197" s="124"/>
      <c r="B197" s="125"/>
      <c r="C197" s="128"/>
      <c r="D197" s="151" t="s">
        <v>448</v>
      </c>
      <c r="E197" s="5"/>
      <c r="F197" s="1"/>
      <c r="G197" s="1"/>
      <c r="H197" s="1"/>
      <c r="I197" s="1"/>
      <c r="J197" s="1"/>
      <c r="K197" s="1"/>
      <c r="L197" s="1"/>
      <c r="M197" s="1"/>
      <c r="N197" s="1"/>
      <c r="O197" s="1"/>
      <c r="P197" s="10"/>
    </row>
    <row r="198" spans="1:16" x14ac:dyDescent="0.3">
      <c r="A198" s="124"/>
      <c r="B198" s="125"/>
      <c r="C198" s="128"/>
      <c r="D198" s="151" t="s">
        <v>444</v>
      </c>
      <c r="E198" s="5"/>
      <c r="F198" s="1"/>
      <c r="G198" s="1"/>
      <c r="H198" s="1"/>
      <c r="I198" s="1"/>
      <c r="J198" s="1"/>
      <c r="K198" s="1"/>
      <c r="L198" s="1"/>
      <c r="M198" s="1"/>
      <c r="N198" s="1"/>
      <c r="O198" s="1"/>
      <c r="P198" s="10"/>
    </row>
    <row r="199" spans="1:16" x14ac:dyDescent="0.3">
      <c r="A199" s="124"/>
      <c r="B199" s="125"/>
      <c r="C199" s="128"/>
      <c r="D199" s="151" t="s">
        <v>491</v>
      </c>
      <c r="E199" s="5"/>
      <c r="F199" s="1"/>
      <c r="G199" s="1"/>
      <c r="H199" s="1"/>
      <c r="I199" s="1"/>
      <c r="J199" s="1"/>
      <c r="K199" s="1"/>
      <c r="L199" s="1"/>
      <c r="M199" s="1"/>
      <c r="N199" s="1"/>
      <c r="O199" s="1"/>
      <c r="P199" s="10"/>
    </row>
    <row r="200" spans="1:16" x14ac:dyDescent="0.3">
      <c r="A200" s="124"/>
      <c r="B200" s="125" t="s">
        <v>503</v>
      </c>
      <c r="C200" s="125"/>
      <c r="D200" s="151"/>
      <c r="E200" s="5">
        <v>1</v>
      </c>
      <c r="F200" s="1">
        <v>1</v>
      </c>
      <c r="G200" s="1">
        <v>1</v>
      </c>
      <c r="H200" s="1">
        <v>1</v>
      </c>
      <c r="I200" s="1">
        <v>3</v>
      </c>
      <c r="J200" s="1">
        <v>3</v>
      </c>
      <c r="K200" s="1">
        <v>1</v>
      </c>
      <c r="L200" s="1">
        <v>3</v>
      </c>
      <c r="M200" s="1">
        <v>1</v>
      </c>
      <c r="N200" s="1">
        <v>4</v>
      </c>
      <c r="O200" s="1">
        <v>2</v>
      </c>
      <c r="P200" s="10">
        <v>3</v>
      </c>
    </row>
    <row r="201" spans="1:16" x14ac:dyDescent="0.3">
      <c r="A201" s="124"/>
      <c r="B201" s="125"/>
      <c r="C201" s="125" t="s">
        <v>476</v>
      </c>
      <c r="D201" s="151"/>
      <c r="E201" s="5"/>
      <c r="F201" s="1"/>
      <c r="G201" s="1"/>
      <c r="H201" s="1"/>
      <c r="I201" s="1"/>
      <c r="J201" s="1"/>
      <c r="K201" s="1"/>
      <c r="L201" s="1"/>
      <c r="M201" s="1"/>
      <c r="N201" s="1"/>
      <c r="O201" s="1"/>
      <c r="P201" s="10"/>
    </row>
    <row r="202" spans="1:16" x14ac:dyDescent="0.3">
      <c r="A202" s="124"/>
      <c r="B202" s="125"/>
      <c r="C202" s="125" t="s">
        <v>504</v>
      </c>
      <c r="D202" s="151"/>
      <c r="E202" s="5"/>
      <c r="F202" s="1"/>
      <c r="G202" s="1"/>
      <c r="H202" s="1"/>
      <c r="I202" s="1"/>
      <c r="J202" s="1"/>
      <c r="K202" s="1"/>
      <c r="L202" s="1"/>
      <c r="M202" s="1"/>
      <c r="N202" s="1"/>
      <c r="O202" s="1"/>
      <c r="P202" s="10"/>
    </row>
    <row r="203" spans="1:16" x14ac:dyDescent="0.3">
      <c r="A203" s="124"/>
      <c r="B203" s="125"/>
      <c r="C203" s="125" t="s">
        <v>505</v>
      </c>
      <c r="D203" s="151"/>
      <c r="E203" s="5"/>
      <c r="F203" s="1"/>
      <c r="G203" s="1"/>
      <c r="H203" s="1"/>
      <c r="I203" s="1"/>
      <c r="J203" s="1"/>
      <c r="K203" s="1"/>
      <c r="L203" s="1"/>
      <c r="M203" s="1"/>
      <c r="N203" s="1"/>
      <c r="O203" s="1"/>
      <c r="P203" s="10"/>
    </row>
    <row r="204" spans="1:16" x14ac:dyDescent="0.3">
      <c r="A204" s="124"/>
      <c r="B204" s="125"/>
      <c r="C204" s="125" t="s">
        <v>444</v>
      </c>
      <c r="D204" s="151"/>
      <c r="E204" s="5"/>
      <c r="F204" s="1"/>
      <c r="G204" s="1"/>
      <c r="H204" s="1"/>
      <c r="I204" s="1"/>
      <c r="J204" s="1"/>
      <c r="K204" s="1"/>
      <c r="L204" s="1"/>
      <c r="M204" s="1"/>
      <c r="N204" s="1"/>
      <c r="O204" s="1"/>
      <c r="P204" s="10"/>
    </row>
    <row r="205" spans="1:16" x14ac:dyDescent="0.3">
      <c r="A205" s="124"/>
      <c r="B205" s="125" t="s">
        <v>15</v>
      </c>
      <c r="C205" s="125"/>
      <c r="D205" s="151"/>
      <c r="E205" s="5"/>
      <c r="F205" s="1"/>
      <c r="G205" s="1"/>
      <c r="H205" s="1"/>
      <c r="I205" s="1"/>
      <c r="J205" s="1"/>
      <c r="K205" s="1"/>
      <c r="L205" s="1"/>
      <c r="M205" s="1"/>
      <c r="N205" s="1"/>
      <c r="O205" s="1"/>
      <c r="P205" s="10"/>
    </row>
    <row r="206" spans="1:16" x14ac:dyDescent="0.3">
      <c r="A206" s="124"/>
      <c r="B206" s="125"/>
      <c r="C206" s="125" t="s">
        <v>444</v>
      </c>
      <c r="D206" s="151"/>
      <c r="E206" s="5">
        <v>4</v>
      </c>
      <c r="F206" s="1">
        <v>4</v>
      </c>
      <c r="G206" s="1">
        <v>4</v>
      </c>
      <c r="H206" s="1">
        <v>6</v>
      </c>
      <c r="I206" s="1">
        <v>10</v>
      </c>
      <c r="J206" s="1">
        <v>10</v>
      </c>
      <c r="K206" s="1">
        <v>6</v>
      </c>
      <c r="L206" s="1">
        <v>10</v>
      </c>
      <c r="M206" s="1">
        <v>4</v>
      </c>
      <c r="N206" s="1">
        <v>6</v>
      </c>
      <c r="O206" s="1">
        <v>5</v>
      </c>
      <c r="P206" s="10">
        <v>7</v>
      </c>
    </row>
    <row r="207" spans="1:16" x14ac:dyDescent="0.3">
      <c r="A207" s="124"/>
      <c r="B207" s="125"/>
      <c r="C207" s="125" t="s">
        <v>16</v>
      </c>
      <c r="D207" s="151"/>
      <c r="E207" s="5"/>
      <c r="F207" s="1"/>
      <c r="G207" s="1"/>
      <c r="H207" s="1"/>
      <c r="I207" s="1"/>
      <c r="J207" s="1"/>
      <c r="K207" s="1"/>
      <c r="L207" s="1"/>
      <c r="M207" s="1"/>
      <c r="N207" s="1"/>
      <c r="O207" s="1"/>
      <c r="P207" s="10"/>
    </row>
    <row r="208" spans="1:16" x14ac:dyDescent="0.3">
      <c r="A208" s="124"/>
      <c r="B208" s="125"/>
      <c r="C208" s="125" t="s">
        <v>506</v>
      </c>
      <c r="D208" s="151"/>
      <c r="E208" s="5"/>
      <c r="F208" s="1"/>
      <c r="G208" s="1"/>
      <c r="H208" s="1"/>
      <c r="I208" s="1"/>
      <c r="J208" s="1"/>
      <c r="K208" s="1"/>
      <c r="L208" s="1"/>
      <c r="M208" s="1"/>
      <c r="N208" s="1"/>
      <c r="O208" s="1"/>
      <c r="P208" s="10"/>
    </row>
    <row r="209" spans="1:16" x14ac:dyDescent="0.3">
      <c r="A209" s="124"/>
      <c r="B209" s="125"/>
      <c r="C209" s="125" t="s">
        <v>507</v>
      </c>
      <c r="D209" s="151"/>
      <c r="E209" s="5"/>
      <c r="F209" s="1"/>
      <c r="G209" s="1"/>
      <c r="H209" s="1"/>
      <c r="I209" s="1"/>
      <c r="J209" s="1"/>
      <c r="K209" s="1"/>
      <c r="L209" s="1"/>
      <c r="M209" s="1"/>
      <c r="N209" s="1"/>
      <c r="O209" s="1"/>
      <c r="P209" s="10"/>
    </row>
    <row r="210" spans="1:16" x14ac:dyDescent="0.3">
      <c r="A210" s="124"/>
      <c r="B210" s="125"/>
      <c r="C210" s="125" t="s">
        <v>484</v>
      </c>
      <c r="D210" s="151"/>
      <c r="E210" s="5"/>
      <c r="F210" s="1"/>
      <c r="G210" s="1"/>
      <c r="H210" s="1"/>
      <c r="I210" s="1"/>
      <c r="J210" s="1"/>
      <c r="K210" s="1"/>
      <c r="L210" s="1"/>
      <c r="M210" s="1"/>
      <c r="N210" s="1"/>
      <c r="O210" s="1"/>
      <c r="P210" s="10"/>
    </row>
    <row r="211" spans="1:16" x14ac:dyDescent="0.3">
      <c r="A211" s="124"/>
      <c r="B211" s="125"/>
      <c r="C211" s="125" t="s">
        <v>488</v>
      </c>
      <c r="D211" s="151"/>
      <c r="E211" s="5"/>
      <c r="F211" s="1"/>
      <c r="G211" s="1"/>
      <c r="H211" s="1"/>
      <c r="I211" s="1"/>
      <c r="J211" s="1"/>
      <c r="K211" s="1"/>
      <c r="L211" s="1"/>
      <c r="M211" s="1"/>
      <c r="N211" s="1"/>
      <c r="O211" s="1"/>
      <c r="P211" s="10"/>
    </row>
    <row r="212" spans="1:16" x14ac:dyDescent="0.3">
      <c r="A212" s="124"/>
      <c r="B212" s="125"/>
      <c r="C212" s="125" t="s">
        <v>489</v>
      </c>
      <c r="D212" s="151"/>
      <c r="E212" s="5"/>
      <c r="F212" s="1"/>
      <c r="G212" s="1"/>
      <c r="H212" s="1"/>
      <c r="I212" s="1"/>
      <c r="J212" s="1"/>
      <c r="K212" s="1"/>
      <c r="L212" s="1"/>
      <c r="M212" s="1"/>
      <c r="N212" s="1"/>
      <c r="O212" s="1"/>
      <c r="P212" s="10"/>
    </row>
    <row r="213" spans="1:16" x14ac:dyDescent="0.3">
      <c r="A213" s="124"/>
      <c r="B213" s="125" t="s">
        <v>508</v>
      </c>
      <c r="C213" s="125"/>
      <c r="D213" s="151"/>
      <c r="E213" s="5">
        <v>5</v>
      </c>
      <c r="F213" s="1">
        <v>5</v>
      </c>
      <c r="G213" s="1">
        <v>5</v>
      </c>
      <c r="H213" s="1">
        <v>10</v>
      </c>
      <c r="I213" s="1">
        <v>20</v>
      </c>
      <c r="J213" s="1">
        <v>20</v>
      </c>
      <c r="K213" s="1">
        <v>7</v>
      </c>
      <c r="L213" s="1">
        <v>12</v>
      </c>
      <c r="M213" s="1">
        <v>5</v>
      </c>
      <c r="N213" s="1">
        <v>8</v>
      </c>
      <c r="O213" s="1">
        <v>10</v>
      </c>
      <c r="P213" s="10">
        <v>10</v>
      </c>
    </row>
    <row r="214" spans="1:16" x14ac:dyDescent="0.3">
      <c r="A214" s="124"/>
      <c r="B214" s="125"/>
      <c r="C214" s="125" t="s">
        <v>444</v>
      </c>
      <c r="D214" s="151"/>
      <c r="E214" s="5"/>
      <c r="F214" s="1"/>
      <c r="G214" s="1"/>
      <c r="H214" s="1"/>
      <c r="I214" s="1"/>
      <c r="J214" s="1"/>
      <c r="K214" s="1"/>
      <c r="L214" s="1"/>
      <c r="M214" s="1"/>
      <c r="N214" s="1"/>
      <c r="O214" s="1"/>
      <c r="P214" s="10"/>
    </row>
    <row r="215" spans="1:16" x14ac:dyDescent="0.3">
      <c r="A215" s="124"/>
      <c r="B215" s="125"/>
      <c r="C215" s="125" t="s">
        <v>509</v>
      </c>
      <c r="D215" s="151"/>
      <c r="E215" s="5"/>
      <c r="F215" s="1"/>
      <c r="G215" s="1"/>
      <c r="H215" s="1"/>
      <c r="I215" s="1"/>
      <c r="J215" s="1"/>
      <c r="K215" s="1"/>
      <c r="L215" s="1"/>
      <c r="M215" s="1"/>
      <c r="N215" s="1"/>
      <c r="O215" s="1"/>
      <c r="P215" s="10"/>
    </row>
    <row r="216" spans="1:16" x14ac:dyDescent="0.3">
      <c r="A216" s="124"/>
      <c r="B216" s="125"/>
      <c r="C216" s="125" t="s">
        <v>510</v>
      </c>
      <c r="D216" s="151"/>
      <c r="E216" s="5"/>
      <c r="F216" s="1"/>
      <c r="G216" s="1"/>
      <c r="H216" s="1"/>
      <c r="I216" s="1"/>
      <c r="J216" s="1"/>
      <c r="K216" s="1"/>
      <c r="L216" s="1"/>
      <c r="M216" s="1"/>
      <c r="N216" s="1"/>
      <c r="O216" s="1"/>
      <c r="P216" s="10"/>
    </row>
    <row r="217" spans="1:16" x14ac:dyDescent="0.3">
      <c r="A217" s="124"/>
      <c r="B217" s="125"/>
      <c r="C217" s="125"/>
      <c r="D217" s="151" t="s">
        <v>472</v>
      </c>
      <c r="E217" s="5"/>
      <c r="F217" s="1"/>
      <c r="G217" s="1"/>
      <c r="H217" s="1"/>
      <c r="I217" s="1"/>
      <c r="J217" s="1"/>
      <c r="K217" s="1"/>
      <c r="L217" s="1"/>
      <c r="M217" s="1"/>
      <c r="N217" s="1"/>
      <c r="O217" s="1"/>
      <c r="P217" s="10"/>
    </row>
    <row r="218" spans="1:16" x14ac:dyDescent="0.3">
      <c r="A218" s="124"/>
      <c r="B218" s="125"/>
      <c r="C218" s="125"/>
      <c r="D218" s="151" t="s">
        <v>511</v>
      </c>
      <c r="E218" s="5"/>
      <c r="F218" s="1"/>
      <c r="G218" s="1"/>
      <c r="H218" s="1"/>
      <c r="I218" s="1"/>
      <c r="J218" s="1"/>
      <c r="K218" s="1"/>
      <c r="L218" s="1"/>
      <c r="M218" s="1"/>
      <c r="N218" s="1"/>
      <c r="O218" s="1"/>
      <c r="P218" s="10"/>
    </row>
    <row r="219" spans="1:16" x14ac:dyDescent="0.3">
      <c r="A219" s="124"/>
      <c r="B219" s="125"/>
      <c r="C219" s="125"/>
      <c r="D219" s="151" t="s">
        <v>512</v>
      </c>
      <c r="E219" s="5"/>
      <c r="F219" s="1"/>
      <c r="G219" s="1"/>
      <c r="H219" s="1"/>
      <c r="I219" s="1"/>
      <c r="J219" s="1"/>
      <c r="K219" s="1"/>
      <c r="L219" s="1"/>
      <c r="M219" s="1"/>
      <c r="N219" s="1"/>
      <c r="O219" s="1"/>
      <c r="P219" s="10"/>
    </row>
    <row r="220" spans="1:16" x14ac:dyDescent="0.3">
      <c r="A220" s="124"/>
      <c r="B220" s="125"/>
      <c r="C220" s="125"/>
      <c r="D220" s="151" t="s">
        <v>12</v>
      </c>
      <c r="E220" s="5"/>
      <c r="F220" s="1"/>
      <c r="G220" s="1"/>
      <c r="H220" s="1"/>
      <c r="I220" s="1"/>
      <c r="J220" s="1"/>
      <c r="K220" s="1"/>
      <c r="L220" s="1"/>
      <c r="M220" s="1"/>
      <c r="N220" s="1"/>
      <c r="O220" s="1"/>
      <c r="P220" s="10"/>
    </row>
    <row r="221" spans="1:16" x14ac:dyDescent="0.3">
      <c r="A221" s="124"/>
      <c r="B221" s="125"/>
      <c r="C221" s="125"/>
      <c r="D221" s="151" t="s">
        <v>513</v>
      </c>
      <c r="E221" s="5"/>
      <c r="F221" s="1"/>
      <c r="G221" s="1"/>
      <c r="H221" s="1"/>
      <c r="I221" s="1"/>
      <c r="J221" s="1"/>
      <c r="K221" s="1"/>
      <c r="L221" s="1"/>
      <c r="M221" s="1"/>
      <c r="N221" s="1"/>
      <c r="O221" s="1"/>
      <c r="P221" s="10"/>
    </row>
    <row r="222" spans="1:16" x14ac:dyDescent="0.3">
      <c r="A222" s="124"/>
      <c r="B222" s="125"/>
      <c r="C222" s="125"/>
      <c r="D222" s="151" t="s">
        <v>509</v>
      </c>
      <c r="E222" s="5"/>
      <c r="F222" s="1"/>
      <c r="G222" s="1"/>
      <c r="H222" s="1"/>
      <c r="I222" s="1"/>
      <c r="J222" s="1"/>
      <c r="K222" s="1"/>
      <c r="L222" s="1"/>
      <c r="M222" s="1"/>
      <c r="N222" s="1"/>
      <c r="O222" s="1"/>
      <c r="P222" s="10"/>
    </row>
    <row r="223" spans="1:16" x14ac:dyDescent="0.3">
      <c r="A223" s="124"/>
      <c r="B223" s="125"/>
      <c r="C223" s="125"/>
      <c r="D223" s="151" t="s">
        <v>514</v>
      </c>
      <c r="E223" s="5"/>
      <c r="F223" s="1"/>
      <c r="G223" s="1"/>
      <c r="H223" s="1"/>
      <c r="I223" s="1"/>
      <c r="J223" s="1"/>
      <c r="K223" s="1"/>
      <c r="L223" s="1"/>
      <c r="M223" s="1"/>
      <c r="N223" s="1"/>
      <c r="O223" s="1"/>
      <c r="P223" s="10"/>
    </row>
    <row r="224" spans="1:16" x14ac:dyDescent="0.3">
      <c r="A224" s="124"/>
      <c r="B224" s="125" t="s">
        <v>515</v>
      </c>
      <c r="C224" s="125"/>
      <c r="D224" s="151"/>
      <c r="E224" s="5">
        <v>10</v>
      </c>
      <c r="F224" s="1">
        <v>10</v>
      </c>
      <c r="G224" s="1">
        <v>10</v>
      </c>
      <c r="H224" s="1">
        <v>15</v>
      </c>
      <c r="I224" s="1">
        <v>25</v>
      </c>
      <c r="J224" s="1">
        <v>25</v>
      </c>
      <c r="K224" s="1">
        <v>15</v>
      </c>
      <c r="L224" s="1">
        <v>25</v>
      </c>
      <c r="M224" s="1">
        <v>5</v>
      </c>
      <c r="N224" s="1">
        <v>8</v>
      </c>
      <c r="O224" s="1">
        <v>10</v>
      </c>
      <c r="P224" s="10">
        <v>10</v>
      </c>
    </row>
    <row r="225" spans="1:16" x14ac:dyDescent="0.3">
      <c r="A225" s="124"/>
      <c r="B225" s="125"/>
      <c r="C225" s="125" t="s">
        <v>516</v>
      </c>
      <c r="D225" s="151"/>
      <c r="E225" s="5"/>
      <c r="F225" s="1"/>
      <c r="G225" s="1"/>
      <c r="H225" s="1"/>
      <c r="I225" s="1"/>
      <c r="J225" s="1"/>
      <c r="K225" s="1"/>
      <c r="L225" s="1"/>
      <c r="M225" s="1"/>
      <c r="N225" s="1"/>
      <c r="O225" s="1"/>
      <c r="P225" s="10"/>
    </row>
    <row r="226" spans="1:16" x14ac:dyDescent="0.3">
      <c r="A226" s="124"/>
      <c r="B226" s="125"/>
      <c r="C226" s="125"/>
      <c r="D226" s="151" t="s">
        <v>444</v>
      </c>
      <c r="E226" s="5"/>
      <c r="F226" s="1"/>
      <c r="G226" s="1"/>
      <c r="H226" s="1"/>
      <c r="I226" s="1"/>
      <c r="J226" s="1"/>
      <c r="K226" s="1"/>
      <c r="L226" s="1"/>
      <c r="M226" s="1"/>
      <c r="N226" s="1"/>
      <c r="O226" s="1"/>
      <c r="P226" s="10"/>
    </row>
    <row r="227" spans="1:16" x14ac:dyDescent="0.3">
      <c r="A227" s="124"/>
      <c r="B227" s="125"/>
      <c r="C227" s="125"/>
      <c r="D227" s="151" t="s">
        <v>16</v>
      </c>
      <c r="E227" s="5"/>
      <c r="F227" s="1"/>
      <c r="G227" s="1"/>
      <c r="H227" s="1"/>
      <c r="I227" s="1"/>
      <c r="J227" s="1"/>
      <c r="K227" s="1"/>
      <c r="L227" s="1"/>
      <c r="M227" s="1"/>
      <c r="N227" s="1"/>
      <c r="O227" s="1"/>
      <c r="P227" s="10"/>
    </row>
    <row r="228" spans="1:16" x14ac:dyDescent="0.3">
      <c r="A228" s="124"/>
      <c r="B228" s="125"/>
      <c r="C228" s="125"/>
      <c r="D228" s="151" t="s">
        <v>509</v>
      </c>
      <c r="E228" s="5"/>
      <c r="F228" s="1"/>
      <c r="G228" s="1"/>
      <c r="H228" s="1"/>
      <c r="I228" s="1"/>
      <c r="J228" s="1"/>
      <c r="K228" s="1"/>
      <c r="L228" s="1"/>
      <c r="M228" s="1"/>
      <c r="N228" s="1"/>
      <c r="O228" s="1"/>
      <c r="P228" s="10"/>
    </row>
    <row r="229" spans="1:16" x14ac:dyDescent="0.3">
      <c r="A229" s="124"/>
      <c r="B229" s="125"/>
      <c r="C229" s="125" t="s">
        <v>489</v>
      </c>
      <c r="D229" s="151"/>
      <c r="E229" s="5"/>
      <c r="F229" s="1"/>
      <c r="G229" s="1"/>
      <c r="H229" s="1"/>
      <c r="I229" s="1"/>
      <c r="J229" s="1"/>
      <c r="K229" s="1"/>
      <c r="L229" s="1"/>
      <c r="M229" s="1"/>
      <c r="N229" s="1"/>
      <c r="O229" s="1"/>
      <c r="P229" s="10"/>
    </row>
    <row r="230" spans="1:16" x14ac:dyDescent="0.3">
      <c r="A230" s="124"/>
      <c r="B230" s="125"/>
      <c r="C230" s="125"/>
      <c r="D230" s="151" t="s">
        <v>517</v>
      </c>
      <c r="E230" s="5"/>
      <c r="F230" s="1"/>
      <c r="G230" s="1"/>
      <c r="H230" s="1"/>
      <c r="I230" s="1"/>
      <c r="J230" s="1"/>
      <c r="K230" s="1"/>
      <c r="L230" s="1"/>
      <c r="M230" s="1"/>
      <c r="N230" s="1"/>
      <c r="O230" s="1"/>
      <c r="P230" s="10"/>
    </row>
    <row r="231" spans="1:16" x14ac:dyDescent="0.3">
      <c r="A231" s="124"/>
      <c r="B231" s="125"/>
      <c r="C231" s="125"/>
      <c r="D231" s="151" t="s">
        <v>444</v>
      </c>
      <c r="E231" s="5"/>
      <c r="F231" s="1"/>
      <c r="G231" s="1"/>
      <c r="H231" s="1"/>
      <c r="I231" s="1"/>
      <c r="J231" s="1"/>
      <c r="K231" s="1"/>
      <c r="L231" s="1"/>
      <c r="M231" s="1"/>
      <c r="N231" s="1"/>
      <c r="O231" s="1"/>
      <c r="P231" s="10"/>
    </row>
    <row r="232" spans="1:16" x14ac:dyDescent="0.3">
      <c r="A232" s="124"/>
      <c r="B232" s="125"/>
      <c r="C232" s="125"/>
      <c r="D232" s="151" t="s">
        <v>16</v>
      </c>
      <c r="E232" s="5"/>
      <c r="F232" s="1"/>
      <c r="G232" s="1"/>
      <c r="H232" s="1"/>
      <c r="I232" s="1"/>
      <c r="J232" s="1"/>
      <c r="K232" s="1"/>
      <c r="L232" s="1"/>
      <c r="M232" s="1"/>
      <c r="N232" s="1"/>
      <c r="O232" s="1"/>
      <c r="P232" s="10"/>
    </row>
    <row r="233" spans="1:16" x14ac:dyDescent="0.3">
      <c r="A233" s="124"/>
      <c r="B233" s="125"/>
      <c r="C233" s="125"/>
      <c r="D233" s="151" t="s">
        <v>509</v>
      </c>
      <c r="E233" s="5"/>
      <c r="F233" s="1"/>
      <c r="G233" s="1"/>
      <c r="H233" s="1"/>
      <c r="I233" s="1"/>
      <c r="J233" s="1"/>
      <c r="K233" s="1"/>
      <c r="L233" s="1"/>
      <c r="M233" s="1"/>
      <c r="N233" s="1"/>
      <c r="O233" s="1"/>
      <c r="P233" s="10"/>
    </row>
    <row r="234" spans="1:16" x14ac:dyDescent="0.3">
      <c r="A234" s="124"/>
      <c r="B234" s="125"/>
      <c r="C234" s="125" t="s">
        <v>518</v>
      </c>
      <c r="D234" s="151"/>
      <c r="E234" s="5"/>
      <c r="F234" s="1"/>
      <c r="G234" s="1"/>
      <c r="H234" s="1"/>
      <c r="I234" s="1"/>
      <c r="J234" s="1"/>
      <c r="K234" s="1"/>
      <c r="L234" s="1"/>
      <c r="M234" s="1"/>
      <c r="N234" s="1"/>
      <c r="O234" s="1"/>
      <c r="P234" s="10"/>
    </row>
    <row r="235" spans="1:16" x14ac:dyDescent="0.3">
      <c r="A235" s="124"/>
      <c r="B235" s="127" t="s">
        <v>519</v>
      </c>
      <c r="C235" s="125"/>
      <c r="D235" s="151"/>
      <c r="E235" s="5">
        <v>3</v>
      </c>
      <c r="F235" s="1">
        <v>3</v>
      </c>
      <c r="G235" s="1">
        <v>3</v>
      </c>
      <c r="H235" s="1">
        <v>4</v>
      </c>
      <c r="I235" s="1">
        <v>6</v>
      </c>
      <c r="J235" s="1">
        <v>6</v>
      </c>
      <c r="K235" s="1">
        <v>4</v>
      </c>
      <c r="L235" s="1">
        <v>6</v>
      </c>
      <c r="M235" s="1">
        <v>3</v>
      </c>
      <c r="N235" s="1">
        <v>5</v>
      </c>
      <c r="O235" s="1">
        <v>3</v>
      </c>
      <c r="P235" s="10">
        <v>4</v>
      </c>
    </row>
    <row r="236" spans="1:16" x14ac:dyDescent="0.3">
      <c r="A236" s="124"/>
      <c r="B236" s="125"/>
      <c r="C236" s="125" t="s">
        <v>520</v>
      </c>
      <c r="D236" s="151"/>
      <c r="E236" s="5"/>
      <c r="F236" s="1"/>
      <c r="G236" s="1"/>
      <c r="H236" s="1"/>
      <c r="I236" s="1"/>
      <c r="J236" s="1"/>
      <c r="K236" s="1"/>
      <c r="L236" s="1"/>
      <c r="M236" s="1"/>
      <c r="N236" s="1"/>
      <c r="O236" s="1"/>
      <c r="P236" s="10"/>
    </row>
    <row r="237" spans="1:16" x14ac:dyDescent="0.3">
      <c r="A237" s="124"/>
      <c r="B237" s="125"/>
      <c r="C237" s="125" t="s">
        <v>521</v>
      </c>
      <c r="D237" s="151"/>
      <c r="E237" s="5"/>
      <c r="F237" s="1"/>
      <c r="G237" s="1"/>
      <c r="H237" s="1"/>
      <c r="I237" s="1"/>
      <c r="J237" s="1"/>
      <c r="K237" s="1"/>
      <c r="L237" s="1"/>
      <c r="M237" s="1"/>
      <c r="N237" s="1"/>
      <c r="O237" s="1"/>
      <c r="P237" s="10"/>
    </row>
    <row r="238" spans="1:16" x14ac:dyDescent="0.3">
      <c r="A238" s="124"/>
      <c r="B238" s="125"/>
      <c r="C238" s="125" t="s">
        <v>522</v>
      </c>
      <c r="D238" s="151"/>
      <c r="E238" s="5"/>
      <c r="F238" s="1"/>
      <c r="G238" s="1"/>
      <c r="H238" s="1"/>
      <c r="I238" s="1"/>
      <c r="J238" s="1"/>
      <c r="K238" s="1"/>
      <c r="L238" s="1"/>
      <c r="M238" s="1"/>
      <c r="N238" s="1"/>
      <c r="O238" s="1"/>
      <c r="P238" s="10"/>
    </row>
    <row r="239" spans="1:16" x14ac:dyDescent="0.3">
      <c r="A239" s="124"/>
      <c r="B239" s="125"/>
      <c r="C239" s="125" t="s">
        <v>16</v>
      </c>
      <c r="D239" s="151"/>
      <c r="E239" s="5"/>
      <c r="F239" s="1"/>
      <c r="G239" s="1"/>
      <c r="H239" s="1"/>
      <c r="I239" s="1"/>
      <c r="J239" s="1"/>
      <c r="K239" s="1"/>
      <c r="L239" s="1"/>
      <c r="M239" s="1"/>
      <c r="N239" s="1"/>
      <c r="O239" s="1"/>
      <c r="P239" s="10"/>
    </row>
    <row r="240" spans="1:16" x14ac:dyDescent="0.3">
      <c r="A240" s="124"/>
      <c r="B240" s="125"/>
      <c r="C240" s="125" t="s">
        <v>444</v>
      </c>
      <c r="D240" s="151"/>
      <c r="E240" s="5"/>
      <c r="F240" s="1"/>
      <c r="G240" s="1"/>
      <c r="H240" s="1"/>
      <c r="I240" s="1"/>
      <c r="J240" s="1"/>
      <c r="K240" s="1"/>
      <c r="L240" s="1"/>
      <c r="M240" s="1"/>
      <c r="N240" s="1"/>
      <c r="O240" s="1"/>
      <c r="P240" s="10"/>
    </row>
    <row r="241" spans="1:16" x14ac:dyDescent="0.3">
      <c r="A241" s="124"/>
      <c r="B241" s="125"/>
      <c r="C241" s="125" t="s">
        <v>448</v>
      </c>
      <c r="D241" s="151"/>
      <c r="E241" s="5"/>
      <c r="F241" s="1"/>
      <c r="G241" s="1"/>
      <c r="H241" s="1"/>
      <c r="I241" s="1"/>
      <c r="J241" s="1"/>
      <c r="K241" s="1"/>
      <c r="L241" s="1"/>
      <c r="M241" s="1"/>
      <c r="N241" s="1"/>
      <c r="O241" s="1"/>
      <c r="P241" s="10"/>
    </row>
    <row r="242" spans="1:16" x14ac:dyDescent="0.3">
      <c r="A242" s="124"/>
      <c r="B242" s="125"/>
      <c r="C242" s="125" t="s">
        <v>491</v>
      </c>
      <c r="D242" s="151"/>
      <c r="E242" s="5">
        <v>3</v>
      </c>
      <c r="F242" s="1">
        <v>3</v>
      </c>
      <c r="G242" s="1">
        <v>3</v>
      </c>
      <c r="H242" s="1">
        <v>5</v>
      </c>
      <c r="I242" s="1">
        <v>7</v>
      </c>
      <c r="J242" s="1">
        <v>7</v>
      </c>
      <c r="K242" s="1">
        <v>4</v>
      </c>
      <c r="L242" s="1">
        <v>6</v>
      </c>
      <c r="M242" s="1">
        <v>3</v>
      </c>
      <c r="N242" s="1">
        <v>6</v>
      </c>
      <c r="O242" s="1">
        <v>3</v>
      </c>
      <c r="P242" s="10">
        <v>4</v>
      </c>
    </row>
    <row r="243" spans="1:16" x14ac:dyDescent="0.3">
      <c r="A243" s="124"/>
      <c r="B243" s="125"/>
      <c r="C243" s="125"/>
      <c r="D243" s="151" t="s">
        <v>523</v>
      </c>
      <c r="E243" s="5"/>
      <c r="F243" s="1"/>
      <c r="G243" s="1"/>
      <c r="H243" s="1"/>
      <c r="I243" s="1"/>
      <c r="J243" s="1"/>
      <c r="K243" s="1"/>
      <c r="L243" s="1"/>
      <c r="M243" s="1"/>
      <c r="N243" s="1"/>
      <c r="O243" s="1"/>
      <c r="P243" s="10"/>
    </row>
    <row r="244" spans="1:16" x14ac:dyDescent="0.3">
      <c r="A244" s="124"/>
      <c r="B244" s="125"/>
      <c r="C244" s="125"/>
      <c r="D244" s="151" t="s">
        <v>524</v>
      </c>
      <c r="E244" s="5"/>
      <c r="F244" s="1"/>
      <c r="G244" s="1"/>
      <c r="H244" s="1"/>
      <c r="I244" s="1"/>
      <c r="J244" s="1"/>
      <c r="K244" s="1"/>
      <c r="L244" s="1"/>
      <c r="M244" s="1"/>
      <c r="N244" s="1"/>
      <c r="O244" s="1"/>
      <c r="P244" s="10"/>
    </row>
    <row r="245" spans="1:16" x14ac:dyDescent="0.3">
      <c r="A245" s="124"/>
      <c r="B245" s="125"/>
      <c r="C245" s="125"/>
      <c r="D245" s="151" t="s">
        <v>472</v>
      </c>
      <c r="E245" s="5"/>
      <c r="F245" s="1"/>
      <c r="G245" s="1"/>
      <c r="H245" s="1"/>
      <c r="I245" s="1"/>
      <c r="J245" s="1"/>
      <c r="K245" s="1"/>
      <c r="L245" s="1"/>
      <c r="M245" s="1"/>
      <c r="N245" s="1"/>
      <c r="O245" s="1"/>
      <c r="P245" s="10"/>
    </row>
    <row r="246" spans="1:16" x14ac:dyDescent="0.3">
      <c r="A246" s="124"/>
      <c r="B246" s="125"/>
      <c r="C246" s="125"/>
      <c r="D246" s="151" t="s">
        <v>525</v>
      </c>
      <c r="E246" s="5"/>
      <c r="F246" s="1"/>
      <c r="G246" s="1"/>
      <c r="H246" s="1"/>
      <c r="I246" s="1"/>
      <c r="J246" s="1"/>
      <c r="K246" s="1"/>
      <c r="L246" s="1"/>
      <c r="M246" s="1"/>
      <c r="N246" s="1"/>
      <c r="O246" s="1"/>
      <c r="P246" s="10"/>
    </row>
    <row r="247" spans="1:16" x14ac:dyDescent="0.3">
      <c r="A247" s="124"/>
      <c r="B247" s="125"/>
      <c r="C247" s="125"/>
      <c r="D247" s="151" t="s">
        <v>456</v>
      </c>
      <c r="E247" s="5"/>
      <c r="F247" s="1"/>
      <c r="G247" s="1"/>
      <c r="H247" s="1"/>
      <c r="I247" s="1"/>
      <c r="J247" s="1"/>
      <c r="K247" s="1"/>
      <c r="L247" s="1"/>
      <c r="M247" s="1"/>
      <c r="N247" s="1"/>
      <c r="O247" s="1"/>
      <c r="P247" s="10"/>
    </row>
    <row r="248" spans="1:16" x14ac:dyDescent="0.3">
      <c r="A248" s="124"/>
      <c r="B248" s="125" t="s">
        <v>526</v>
      </c>
      <c r="C248" s="125"/>
      <c r="D248" s="151"/>
      <c r="E248" s="5">
        <v>2</v>
      </c>
      <c r="F248" s="1">
        <v>2</v>
      </c>
      <c r="G248" s="1">
        <v>2</v>
      </c>
      <c r="H248" s="1">
        <v>3</v>
      </c>
      <c r="I248" s="1">
        <v>5</v>
      </c>
      <c r="J248" s="1">
        <v>5</v>
      </c>
      <c r="K248" s="1">
        <v>2</v>
      </c>
      <c r="L248" s="1">
        <v>3</v>
      </c>
      <c r="M248" s="1">
        <v>1</v>
      </c>
      <c r="N248" s="1">
        <v>2</v>
      </c>
      <c r="O248" s="1">
        <v>2</v>
      </c>
      <c r="P248" s="10">
        <v>3</v>
      </c>
    </row>
    <row r="249" spans="1:16" x14ac:dyDescent="0.3">
      <c r="A249" s="124"/>
      <c r="B249" s="125" t="s">
        <v>527</v>
      </c>
      <c r="C249" s="125"/>
      <c r="D249" s="151"/>
      <c r="E249" s="5">
        <v>3</v>
      </c>
      <c r="F249" s="1">
        <v>3</v>
      </c>
      <c r="G249" s="1">
        <v>4</v>
      </c>
      <c r="H249" s="1">
        <v>4</v>
      </c>
      <c r="I249" s="1">
        <v>8</v>
      </c>
      <c r="J249" s="1">
        <v>8</v>
      </c>
      <c r="K249" s="1">
        <v>4</v>
      </c>
      <c r="L249" s="1">
        <v>8</v>
      </c>
      <c r="M249" s="1">
        <v>2</v>
      </c>
      <c r="N249" s="1">
        <v>5</v>
      </c>
      <c r="O249" s="1">
        <v>4</v>
      </c>
      <c r="P249" s="10">
        <v>5</v>
      </c>
    </row>
    <row r="250" spans="1:16" x14ac:dyDescent="0.3">
      <c r="A250" s="130"/>
      <c r="B250" s="131"/>
      <c r="C250" s="131"/>
      <c r="D250" s="165"/>
      <c r="E250" s="160">
        <f t="shared" ref="E250:P250" si="0">SUM(E2:E249)</f>
        <v>89</v>
      </c>
      <c r="F250" s="45">
        <f t="shared" si="0"/>
        <v>89</v>
      </c>
      <c r="G250" s="45">
        <f t="shared" si="0"/>
        <v>90</v>
      </c>
      <c r="H250" s="45">
        <f t="shared" si="0"/>
        <v>140</v>
      </c>
      <c r="I250" s="45">
        <f t="shared" si="0"/>
        <v>213</v>
      </c>
      <c r="J250" s="45">
        <f t="shared" si="0"/>
        <v>213</v>
      </c>
      <c r="K250" s="45">
        <f t="shared" si="0"/>
        <v>94</v>
      </c>
      <c r="L250" s="45">
        <f t="shared" si="0"/>
        <v>166</v>
      </c>
      <c r="M250" s="45">
        <f t="shared" si="0"/>
        <v>79</v>
      </c>
      <c r="N250" s="45">
        <f t="shared" si="0"/>
        <v>128</v>
      </c>
      <c r="O250" s="45">
        <f t="shared" si="0"/>
        <v>96</v>
      </c>
      <c r="P250" s="45">
        <f t="shared" si="0"/>
        <v>113</v>
      </c>
    </row>
    <row r="251" spans="1:16" ht="15" thickBot="1" x14ac:dyDescent="0.35">
      <c r="A251" s="59"/>
      <c r="B251" s="60">
        <f>COUNTA(Table95[User Story])</f>
        <v>24</v>
      </c>
      <c r="C251" s="60">
        <f>COUNTA(Table95[Task])</f>
        <v>95</v>
      </c>
      <c r="D251" s="61">
        <f>COUNTA(Table95[Sub Task])</f>
        <v>125</v>
      </c>
      <c r="E251" s="12"/>
      <c r="F251" s="15"/>
      <c r="G251" s="15"/>
      <c r="H251" s="15"/>
      <c r="I251" s="15"/>
      <c r="J251" s="15"/>
      <c r="K251" s="15"/>
      <c r="L251" s="15"/>
      <c r="M251" s="15"/>
      <c r="N251" s="15"/>
      <c r="O251" s="15"/>
      <c r="P251" s="44"/>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0A43C-9E89-4B24-AC9B-AA673A808225}">
  <dimension ref="A1:Q66"/>
  <sheetViews>
    <sheetView topLeftCell="A42" zoomScale="106" workbookViewId="0">
      <selection activeCell="B2" sqref="B2:B64"/>
    </sheetView>
  </sheetViews>
  <sheetFormatPr defaultRowHeight="14.4" x14ac:dyDescent="0.3"/>
  <cols>
    <col min="1" max="1" width="11.88671875" bestFit="1" customWidth="1"/>
    <col min="2" max="2" width="16.88671875" bestFit="1" customWidth="1"/>
    <col min="3" max="3" width="19.5546875" bestFit="1" customWidth="1"/>
    <col min="4" max="4" width="12.6640625" bestFit="1" customWidth="1"/>
    <col min="5" max="5" width="25.88671875" bestFit="1" customWidth="1"/>
    <col min="6" max="6" width="5.6640625" bestFit="1" customWidth="1"/>
    <col min="7" max="7" width="5.44140625" bestFit="1" customWidth="1"/>
    <col min="8" max="8" width="10.88671875" bestFit="1" customWidth="1"/>
    <col min="9" max="9" width="11.44140625" bestFit="1" customWidth="1"/>
    <col min="10" max="11" width="7.33203125" bestFit="1" customWidth="1"/>
    <col min="12" max="12" width="11" bestFit="1" customWidth="1"/>
    <col min="13" max="13" width="14.33203125" bestFit="1" customWidth="1"/>
    <col min="14" max="14" width="6.6640625" bestFit="1" customWidth="1"/>
    <col min="15" max="15" width="14.33203125" bestFit="1" customWidth="1"/>
    <col min="16" max="16" width="5.5546875" bestFit="1" customWidth="1"/>
    <col min="17" max="17" width="5" bestFit="1" customWidth="1"/>
  </cols>
  <sheetData>
    <row r="1" spans="1:17" ht="15" thickBot="1" x14ac:dyDescent="0.35">
      <c r="A1" s="156" t="s">
        <v>1</v>
      </c>
      <c r="B1" s="157" t="s">
        <v>151</v>
      </c>
      <c r="C1" s="157" t="s">
        <v>3</v>
      </c>
      <c r="D1" s="158" t="s">
        <v>152</v>
      </c>
      <c r="E1" s="185" t="s">
        <v>68</v>
      </c>
      <c r="F1" s="41" t="s">
        <v>81</v>
      </c>
      <c r="G1" s="42" t="s">
        <v>61</v>
      </c>
      <c r="H1" s="42" t="s">
        <v>82</v>
      </c>
      <c r="I1" s="42" t="s">
        <v>83</v>
      </c>
      <c r="J1" s="42" t="s">
        <v>84</v>
      </c>
      <c r="K1" s="42" t="s">
        <v>85</v>
      </c>
      <c r="L1" s="42" t="s">
        <v>86</v>
      </c>
      <c r="M1" s="42" t="s">
        <v>87</v>
      </c>
      <c r="N1" s="42" t="s">
        <v>88</v>
      </c>
      <c r="O1" s="42" t="s">
        <v>89</v>
      </c>
      <c r="P1" s="42" t="s">
        <v>90</v>
      </c>
      <c r="Q1" s="43" t="s">
        <v>91</v>
      </c>
    </row>
    <row r="2" spans="1:17" x14ac:dyDescent="0.3">
      <c r="A2" s="122"/>
      <c r="B2" s="123" t="s">
        <v>528</v>
      </c>
      <c r="C2" s="123"/>
      <c r="D2" s="159"/>
      <c r="E2" s="159" t="s">
        <v>529</v>
      </c>
      <c r="F2" s="14">
        <v>1</v>
      </c>
      <c r="G2" s="13">
        <v>1</v>
      </c>
      <c r="H2" s="13">
        <v>1</v>
      </c>
      <c r="I2" s="13">
        <v>2</v>
      </c>
      <c r="J2" s="13">
        <v>3</v>
      </c>
      <c r="K2" s="13">
        <v>3</v>
      </c>
      <c r="L2" s="13">
        <v>1</v>
      </c>
      <c r="M2" s="13">
        <v>2</v>
      </c>
      <c r="N2" s="13">
        <v>1</v>
      </c>
      <c r="O2" s="13">
        <v>2</v>
      </c>
      <c r="P2" s="13">
        <v>2</v>
      </c>
      <c r="Q2" s="39">
        <v>3</v>
      </c>
    </row>
    <row r="3" spans="1:17" x14ac:dyDescent="0.3">
      <c r="A3" s="124"/>
      <c r="B3" s="125"/>
      <c r="C3" s="125" t="s">
        <v>530</v>
      </c>
      <c r="D3" s="151"/>
      <c r="E3" s="151" t="s">
        <v>15</v>
      </c>
      <c r="F3" s="5"/>
      <c r="G3" s="1"/>
      <c r="H3" s="1"/>
      <c r="I3" s="1"/>
      <c r="J3" s="1"/>
      <c r="K3" s="1"/>
      <c r="L3" s="1"/>
      <c r="M3" s="1"/>
      <c r="N3" s="1"/>
      <c r="O3" s="1"/>
      <c r="P3" s="1"/>
      <c r="Q3" s="10"/>
    </row>
    <row r="4" spans="1:17" x14ac:dyDescent="0.3">
      <c r="A4" s="124"/>
      <c r="B4" s="125"/>
      <c r="C4" s="125" t="s">
        <v>531</v>
      </c>
      <c r="D4" s="151"/>
      <c r="E4" s="151" t="s">
        <v>532</v>
      </c>
      <c r="F4" s="5"/>
      <c r="G4" s="1"/>
      <c r="H4" s="1"/>
      <c r="I4" s="1"/>
      <c r="J4" s="1"/>
      <c r="K4" s="1"/>
      <c r="L4" s="1"/>
      <c r="M4" s="1"/>
      <c r="N4" s="1"/>
      <c r="O4" s="1"/>
      <c r="P4" s="1"/>
      <c r="Q4" s="10"/>
    </row>
    <row r="5" spans="1:17" x14ac:dyDescent="0.3">
      <c r="A5" s="124"/>
      <c r="B5" s="125"/>
      <c r="C5" s="125" t="s">
        <v>533</v>
      </c>
      <c r="D5" s="151"/>
      <c r="E5" s="151" t="s">
        <v>444</v>
      </c>
      <c r="F5" s="5"/>
      <c r="G5" s="1"/>
      <c r="H5" s="1"/>
      <c r="I5" s="1"/>
      <c r="J5" s="1"/>
      <c r="K5" s="1"/>
      <c r="L5" s="1"/>
      <c r="M5" s="1"/>
      <c r="N5" s="1"/>
      <c r="O5" s="1"/>
      <c r="P5" s="1"/>
      <c r="Q5" s="10"/>
    </row>
    <row r="6" spans="1:17" x14ac:dyDescent="0.3">
      <c r="A6" s="124"/>
      <c r="B6" s="125"/>
      <c r="C6" s="125" t="s">
        <v>534</v>
      </c>
      <c r="D6" s="151"/>
      <c r="E6" s="151" t="s">
        <v>535</v>
      </c>
      <c r="F6" s="5"/>
      <c r="G6" s="1"/>
      <c r="H6" s="1"/>
      <c r="I6" s="1"/>
      <c r="J6" s="1"/>
      <c r="K6" s="1"/>
      <c r="L6" s="1"/>
      <c r="M6" s="1"/>
      <c r="N6" s="1"/>
      <c r="O6" s="1"/>
      <c r="P6" s="1"/>
      <c r="Q6" s="10"/>
    </row>
    <row r="7" spans="1:17" x14ac:dyDescent="0.3">
      <c r="A7" s="124"/>
      <c r="B7" s="125" t="s">
        <v>536</v>
      </c>
      <c r="C7" s="125"/>
      <c r="D7" s="151"/>
      <c r="E7" s="151" t="s">
        <v>537</v>
      </c>
      <c r="F7" s="5">
        <v>2</v>
      </c>
      <c r="G7" s="1">
        <v>2</v>
      </c>
      <c r="H7" s="1">
        <v>3</v>
      </c>
      <c r="I7" s="1">
        <v>4</v>
      </c>
      <c r="J7" s="1">
        <v>6</v>
      </c>
      <c r="K7" s="1">
        <v>6</v>
      </c>
      <c r="L7" s="1">
        <v>2</v>
      </c>
      <c r="M7" s="1">
        <v>3</v>
      </c>
      <c r="N7" s="1">
        <v>1</v>
      </c>
      <c r="O7" s="1">
        <v>2</v>
      </c>
      <c r="P7" s="1">
        <v>2</v>
      </c>
      <c r="Q7" s="10">
        <v>3</v>
      </c>
    </row>
    <row r="8" spans="1:17" x14ac:dyDescent="0.3">
      <c r="A8" s="124"/>
      <c r="B8" s="125"/>
      <c r="C8" s="125" t="s">
        <v>9</v>
      </c>
      <c r="D8" s="151"/>
      <c r="E8" s="151" t="s">
        <v>444</v>
      </c>
      <c r="F8" s="5"/>
      <c r="G8" s="1"/>
      <c r="H8" s="1"/>
      <c r="I8" s="1"/>
      <c r="J8" s="1"/>
      <c r="K8" s="1"/>
      <c r="L8" s="1"/>
      <c r="M8" s="1"/>
      <c r="N8" s="1"/>
      <c r="O8" s="1"/>
      <c r="P8" s="1"/>
      <c r="Q8" s="10"/>
    </row>
    <row r="9" spans="1:17" x14ac:dyDescent="0.3">
      <c r="A9" s="124"/>
      <c r="B9" s="125"/>
      <c r="C9" s="125" t="s">
        <v>538</v>
      </c>
      <c r="D9" s="151"/>
      <c r="E9" s="151" t="s">
        <v>539</v>
      </c>
      <c r="F9" s="5"/>
      <c r="G9" s="1"/>
      <c r="H9" s="1"/>
      <c r="I9" s="1"/>
      <c r="J9" s="1"/>
      <c r="K9" s="1"/>
      <c r="L9" s="1"/>
      <c r="M9" s="1"/>
      <c r="N9" s="1"/>
      <c r="O9" s="1"/>
      <c r="P9" s="1"/>
      <c r="Q9" s="10"/>
    </row>
    <row r="10" spans="1:17" x14ac:dyDescent="0.3">
      <c r="A10" s="124"/>
      <c r="B10" s="125"/>
      <c r="C10" s="125" t="s">
        <v>439</v>
      </c>
      <c r="D10" s="151"/>
      <c r="E10" s="151" t="s">
        <v>540</v>
      </c>
      <c r="F10" s="5"/>
      <c r="G10" s="1"/>
      <c r="H10" s="1"/>
      <c r="I10" s="1"/>
      <c r="J10" s="1"/>
      <c r="K10" s="1"/>
      <c r="L10" s="1"/>
      <c r="M10" s="1"/>
      <c r="N10" s="1"/>
      <c r="O10" s="1"/>
      <c r="P10" s="1"/>
      <c r="Q10" s="10"/>
    </row>
    <row r="11" spans="1:17" x14ac:dyDescent="0.3">
      <c r="A11" s="124"/>
      <c r="B11" s="125"/>
      <c r="C11" s="125" t="s">
        <v>12</v>
      </c>
      <c r="D11" s="151"/>
      <c r="E11" s="151" t="s">
        <v>471</v>
      </c>
      <c r="F11" s="5"/>
      <c r="G11" s="1"/>
      <c r="H11" s="1"/>
      <c r="I11" s="1"/>
      <c r="J11" s="1"/>
      <c r="K11" s="1"/>
      <c r="L11" s="1"/>
      <c r="M11" s="1"/>
      <c r="N11" s="1"/>
      <c r="O11" s="1"/>
      <c r="P11" s="1"/>
      <c r="Q11" s="10"/>
    </row>
    <row r="12" spans="1:17" x14ac:dyDescent="0.3">
      <c r="A12" s="124"/>
      <c r="B12" s="125"/>
      <c r="C12" s="125" t="s">
        <v>533</v>
      </c>
      <c r="D12" s="151"/>
      <c r="E12" s="151" t="s">
        <v>504</v>
      </c>
      <c r="F12" s="5"/>
      <c r="G12" s="1"/>
      <c r="H12" s="1"/>
      <c r="I12" s="1"/>
      <c r="J12" s="1"/>
      <c r="K12" s="1"/>
      <c r="L12" s="1"/>
      <c r="M12" s="1"/>
      <c r="N12" s="1"/>
      <c r="O12" s="1"/>
      <c r="P12" s="1"/>
      <c r="Q12" s="10"/>
    </row>
    <row r="13" spans="1:17" x14ac:dyDescent="0.3">
      <c r="A13" s="124"/>
      <c r="B13" s="125" t="s">
        <v>535</v>
      </c>
      <c r="C13" s="125"/>
      <c r="D13" s="151"/>
      <c r="E13" s="151" t="s">
        <v>541</v>
      </c>
      <c r="F13" s="5">
        <v>3</v>
      </c>
      <c r="G13" s="1">
        <v>3</v>
      </c>
      <c r="H13" s="1">
        <v>3</v>
      </c>
      <c r="I13" s="1">
        <v>6</v>
      </c>
      <c r="J13" s="1">
        <v>8</v>
      </c>
      <c r="K13" s="1">
        <v>8</v>
      </c>
      <c r="L13" s="1">
        <v>3</v>
      </c>
      <c r="M13" s="1">
        <v>5</v>
      </c>
      <c r="N13" s="1">
        <v>1</v>
      </c>
      <c r="O13" s="1">
        <v>2</v>
      </c>
      <c r="P13" s="1">
        <v>2</v>
      </c>
      <c r="Q13" s="10">
        <v>3</v>
      </c>
    </row>
    <row r="14" spans="1:17" x14ac:dyDescent="0.3">
      <c r="A14" s="124"/>
      <c r="B14" s="125"/>
      <c r="C14" s="125" t="s">
        <v>16</v>
      </c>
      <c r="D14" s="151"/>
      <c r="E14" s="151" t="s">
        <v>542</v>
      </c>
      <c r="F14" s="5"/>
      <c r="G14" s="1"/>
      <c r="H14" s="1"/>
      <c r="I14" s="1"/>
      <c r="J14" s="1"/>
      <c r="K14" s="1"/>
      <c r="L14" s="1"/>
      <c r="M14" s="1"/>
      <c r="N14" s="1"/>
      <c r="O14" s="1"/>
      <c r="P14" s="1"/>
      <c r="Q14" s="10"/>
    </row>
    <row r="15" spans="1:17" x14ac:dyDescent="0.3">
      <c r="A15" s="124"/>
      <c r="B15" s="125"/>
      <c r="C15" s="125" t="s">
        <v>537</v>
      </c>
      <c r="D15" s="151"/>
      <c r="E15" s="151" t="s">
        <v>543</v>
      </c>
      <c r="F15" s="5"/>
      <c r="G15" s="1"/>
      <c r="H15" s="1"/>
      <c r="I15" s="1"/>
      <c r="J15" s="1"/>
      <c r="K15" s="1"/>
      <c r="L15" s="1"/>
      <c r="M15" s="1"/>
      <c r="N15" s="1"/>
      <c r="O15" s="1"/>
      <c r="P15" s="1"/>
      <c r="Q15" s="10"/>
    </row>
    <row r="16" spans="1:17" x14ac:dyDescent="0.3">
      <c r="A16" s="124"/>
      <c r="B16" s="125"/>
      <c r="C16" s="125" t="s">
        <v>444</v>
      </c>
      <c r="D16" s="151"/>
      <c r="E16" s="151" t="s">
        <v>544</v>
      </c>
      <c r="F16" s="5"/>
      <c r="G16" s="1"/>
      <c r="H16" s="1"/>
      <c r="I16" s="1"/>
      <c r="J16" s="1"/>
      <c r="K16" s="1"/>
      <c r="L16" s="1"/>
      <c r="M16" s="1"/>
      <c r="N16" s="1"/>
      <c r="O16" s="1"/>
      <c r="P16" s="1"/>
      <c r="Q16" s="10"/>
    </row>
    <row r="17" spans="1:17" x14ac:dyDescent="0.3">
      <c r="A17" s="124"/>
      <c r="B17" s="125"/>
      <c r="C17" s="125" t="s">
        <v>545</v>
      </c>
      <c r="D17" s="151"/>
      <c r="E17" s="151" t="s">
        <v>546</v>
      </c>
      <c r="F17" s="5"/>
      <c r="G17" s="1"/>
      <c r="H17" s="1"/>
      <c r="I17" s="1"/>
      <c r="J17" s="1"/>
      <c r="K17" s="1"/>
      <c r="L17" s="1"/>
      <c r="M17" s="1"/>
      <c r="N17" s="1"/>
      <c r="O17" s="1"/>
      <c r="P17" s="1"/>
      <c r="Q17" s="10"/>
    </row>
    <row r="18" spans="1:17" x14ac:dyDescent="0.3">
      <c r="A18" s="124"/>
      <c r="B18" s="125"/>
      <c r="C18" s="125" t="s">
        <v>472</v>
      </c>
      <c r="D18" s="151"/>
      <c r="E18" s="151" t="s">
        <v>547</v>
      </c>
      <c r="F18" s="5"/>
      <c r="G18" s="1"/>
      <c r="H18" s="1"/>
      <c r="I18" s="1"/>
      <c r="J18" s="1"/>
      <c r="K18" s="1"/>
      <c r="L18" s="1"/>
      <c r="M18" s="1"/>
      <c r="N18" s="1"/>
      <c r="O18" s="1"/>
      <c r="P18" s="1"/>
      <c r="Q18" s="10"/>
    </row>
    <row r="19" spans="1:17" x14ac:dyDescent="0.3">
      <c r="A19" s="124"/>
      <c r="B19" s="125" t="s">
        <v>539</v>
      </c>
      <c r="C19" s="125"/>
      <c r="D19" s="151"/>
      <c r="E19" s="151" t="s">
        <v>548</v>
      </c>
      <c r="F19" s="5">
        <v>3</v>
      </c>
      <c r="G19" s="1">
        <v>3</v>
      </c>
      <c r="H19" s="1">
        <v>4</v>
      </c>
      <c r="I19" s="1">
        <v>6</v>
      </c>
      <c r="J19" s="1">
        <v>9</v>
      </c>
      <c r="K19" s="1">
        <v>9</v>
      </c>
      <c r="L19" s="1">
        <v>3</v>
      </c>
      <c r="M19" s="1">
        <v>6</v>
      </c>
      <c r="N19" s="1">
        <v>2</v>
      </c>
      <c r="O19" s="1">
        <v>5</v>
      </c>
      <c r="P19" s="1">
        <v>3</v>
      </c>
      <c r="Q19" s="10">
        <v>5</v>
      </c>
    </row>
    <row r="20" spans="1:17" x14ac:dyDescent="0.3">
      <c r="A20" s="124"/>
      <c r="B20" s="125"/>
      <c r="C20" s="125" t="s">
        <v>16</v>
      </c>
      <c r="D20" s="151"/>
      <c r="E20" s="151" t="s">
        <v>23</v>
      </c>
      <c r="F20" s="5"/>
      <c r="G20" s="1"/>
      <c r="H20" s="1"/>
      <c r="I20" s="1"/>
      <c r="J20" s="1"/>
      <c r="K20" s="1"/>
      <c r="L20" s="1"/>
      <c r="M20" s="1"/>
      <c r="N20" s="1"/>
      <c r="O20" s="1"/>
      <c r="P20" s="1"/>
      <c r="Q20" s="10"/>
    </row>
    <row r="21" spans="1:17" x14ac:dyDescent="0.3">
      <c r="A21" s="124"/>
      <c r="B21" s="125"/>
      <c r="C21" s="125" t="s">
        <v>444</v>
      </c>
      <c r="D21" s="151"/>
      <c r="E21" s="151" t="s">
        <v>549</v>
      </c>
      <c r="F21" s="5"/>
      <c r="G21" s="1"/>
      <c r="H21" s="1"/>
      <c r="I21" s="1"/>
      <c r="J21" s="1"/>
      <c r="K21" s="1"/>
      <c r="L21" s="1"/>
      <c r="M21" s="1"/>
      <c r="N21" s="1"/>
      <c r="O21" s="1"/>
      <c r="P21" s="1"/>
      <c r="Q21" s="10"/>
    </row>
    <row r="22" spans="1:17" x14ac:dyDescent="0.3">
      <c r="A22" s="124"/>
      <c r="B22" s="125"/>
      <c r="C22" s="125" t="s">
        <v>550</v>
      </c>
      <c r="D22" s="151"/>
      <c r="E22" s="151" t="s">
        <v>551</v>
      </c>
      <c r="F22" s="5"/>
      <c r="G22" s="1"/>
      <c r="H22" s="1"/>
      <c r="I22" s="1"/>
      <c r="J22" s="1"/>
      <c r="K22" s="1"/>
      <c r="L22" s="1"/>
      <c r="M22" s="1"/>
      <c r="N22" s="1"/>
      <c r="O22" s="1"/>
      <c r="P22" s="1"/>
      <c r="Q22" s="10"/>
    </row>
    <row r="23" spans="1:17" x14ac:dyDescent="0.3">
      <c r="A23" s="124"/>
      <c r="B23" s="125"/>
      <c r="C23" s="125" t="s">
        <v>552</v>
      </c>
      <c r="D23" s="151"/>
      <c r="E23" s="151" t="s">
        <v>553</v>
      </c>
      <c r="F23" s="5"/>
      <c r="G23" s="1"/>
      <c r="H23" s="1"/>
      <c r="I23" s="1"/>
      <c r="J23" s="1"/>
      <c r="K23" s="1"/>
      <c r="L23" s="1"/>
      <c r="M23" s="1"/>
      <c r="N23" s="1"/>
      <c r="O23" s="1"/>
      <c r="P23" s="1"/>
      <c r="Q23" s="10"/>
    </row>
    <row r="24" spans="1:17" x14ac:dyDescent="0.3">
      <c r="A24" s="124"/>
      <c r="B24" s="125"/>
      <c r="C24" s="125" t="s">
        <v>554</v>
      </c>
      <c r="D24" s="151"/>
      <c r="E24" s="151"/>
      <c r="F24" s="5"/>
      <c r="G24" s="1"/>
      <c r="H24" s="1"/>
      <c r="I24" s="1"/>
      <c r="J24" s="1"/>
      <c r="K24" s="1"/>
      <c r="L24" s="1"/>
      <c r="M24" s="1"/>
      <c r="N24" s="1"/>
      <c r="O24" s="1"/>
      <c r="P24" s="1"/>
      <c r="Q24" s="10"/>
    </row>
    <row r="25" spans="1:17" x14ac:dyDescent="0.3">
      <c r="A25" s="124"/>
      <c r="B25" s="125"/>
      <c r="C25" s="125" t="s">
        <v>540</v>
      </c>
      <c r="D25" s="151"/>
      <c r="E25" s="151"/>
      <c r="F25" s="5"/>
      <c r="G25" s="1"/>
      <c r="H25" s="1"/>
      <c r="I25" s="1"/>
      <c r="J25" s="1"/>
      <c r="K25" s="1"/>
      <c r="L25" s="1"/>
      <c r="M25" s="1"/>
      <c r="N25" s="1"/>
      <c r="O25" s="1"/>
      <c r="P25" s="1"/>
      <c r="Q25" s="10"/>
    </row>
    <row r="26" spans="1:17" x14ac:dyDescent="0.3">
      <c r="A26" s="124"/>
      <c r="B26" s="125"/>
      <c r="C26" s="125" t="s">
        <v>555</v>
      </c>
      <c r="D26" s="151"/>
      <c r="E26" s="151"/>
      <c r="F26" s="5"/>
      <c r="G26" s="1"/>
      <c r="H26" s="1"/>
      <c r="I26" s="1"/>
      <c r="J26" s="1"/>
      <c r="K26" s="1"/>
      <c r="L26" s="1"/>
      <c r="M26" s="1"/>
      <c r="N26" s="1"/>
      <c r="O26" s="1"/>
      <c r="P26" s="1"/>
      <c r="Q26" s="10"/>
    </row>
    <row r="27" spans="1:17" x14ac:dyDescent="0.3">
      <c r="A27" s="124" t="s">
        <v>556</v>
      </c>
      <c r="B27" s="125"/>
      <c r="C27" s="125"/>
      <c r="D27" s="151"/>
      <c r="E27" s="151"/>
      <c r="F27" s="5"/>
      <c r="G27" s="1"/>
      <c r="H27" s="1"/>
      <c r="I27" s="1"/>
      <c r="J27" s="1"/>
      <c r="K27" s="1"/>
      <c r="L27" s="1"/>
      <c r="M27" s="1"/>
      <c r="N27" s="1"/>
      <c r="O27" s="1"/>
      <c r="P27" s="1"/>
      <c r="Q27" s="10"/>
    </row>
    <row r="28" spans="1:17" x14ac:dyDescent="0.3">
      <c r="A28" s="124"/>
      <c r="B28" s="125" t="s">
        <v>387</v>
      </c>
      <c r="C28" s="125"/>
      <c r="D28" s="151"/>
      <c r="E28" s="151"/>
      <c r="F28" s="5">
        <v>2</v>
      </c>
      <c r="G28" s="1">
        <v>2</v>
      </c>
      <c r="H28" s="1">
        <v>3</v>
      </c>
      <c r="I28" s="1">
        <v>4</v>
      </c>
      <c r="J28" s="1">
        <v>6</v>
      </c>
      <c r="K28" s="1">
        <v>6</v>
      </c>
      <c r="L28" s="1">
        <v>4</v>
      </c>
      <c r="M28" s="1">
        <v>6</v>
      </c>
      <c r="N28" s="1">
        <v>3</v>
      </c>
      <c r="O28" s="1">
        <v>5</v>
      </c>
      <c r="P28" s="1">
        <v>3</v>
      </c>
      <c r="Q28" s="10">
        <v>4</v>
      </c>
    </row>
    <row r="29" spans="1:17" x14ac:dyDescent="0.3">
      <c r="A29" s="124"/>
      <c r="B29" s="125"/>
      <c r="C29" s="125" t="s">
        <v>16</v>
      </c>
      <c r="D29" s="151"/>
      <c r="E29" s="151"/>
      <c r="F29" s="5"/>
      <c r="G29" s="1"/>
      <c r="H29" s="1"/>
      <c r="I29" s="1"/>
      <c r="J29" s="1"/>
      <c r="K29" s="1"/>
      <c r="L29" s="1"/>
      <c r="M29" s="1"/>
      <c r="N29" s="1"/>
      <c r="O29" s="1"/>
      <c r="P29" s="1"/>
      <c r="Q29" s="10"/>
    </row>
    <row r="30" spans="1:17" x14ac:dyDescent="0.3">
      <c r="A30" s="124"/>
      <c r="B30" s="125"/>
      <c r="C30" s="125" t="s">
        <v>444</v>
      </c>
      <c r="D30" s="151"/>
      <c r="E30" s="151"/>
      <c r="F30" s="5"/>
      <c r="G30" s="1"/>
      <c r="H30" s="1"/>
      <c r="I30" s="1"/>
      <c r="J30" s="1"/>
      <c r="K30" s="1"/>
      <c r="L30" s="1"/>
      <c r="M30" s="1"/>
      <c r="N30" s="1"/>
      <c r="O30" s="1"/>
      <c r="P30" s="1"/>
      <c r="Q30" s="10"/>
    </row>
    <row r="31" spans="1:17" x14ac:dyDescent="0.3">
      <c r="A31" s="124"/>
      <c r="B31" s="125"/>
      <c r="C31" s="125" t="s">
        <v>544</v>
      </c>
      <c r="D31" s="151"/>
      <c r="E31" s="151"/>
      <c r="F31" s="5"/>
      <c r="G31" s="1"/>
      <c r="H31" s="1"/>
      <c r="I31" s="1"/>
      <c r="J31" s="1"/>
      <c r="K31" s="1"/>
      <c r="L31" s="1"/>
      <c r="M31" s="1"/>
      <c r="N31" s="1"/>
      <c r="O31" s="1"/>
      <c r="P31" s="1"/>
      <c r="Q31" s="10"/>
    </row>
    <row r="32" spans="1:17" x14ac:dyDescent="0.3">
      <c r="A32" s="124"/>
      <c r="B32" s="125"/>
      <c r="C32" s="125" t="s">
        <v>546</v>
      </c>
      <c r="D32" s="151"/>
      <c r="E32" s="151"/>
      <c r="F32" s="5"/>
      <c r="G32" s="1"/>
      <c r="H32" s="1"/>
      <c r="I32" s="1"/>
      <c r="J32" s="1"/>
      <c r="K32" s="1"/>
      <c r="L32" s="1"/>
      <c r="M32" s="1"/>
      <c r="N32" s="1"/>
      <c r="O32" s="1"/>
      <c r="P32" s="1"/>
      <c r="Q32" s="10"/>
    </row>
    <row r="33" spans="1:17" x14ac:dyDescent="0.3">
      <c r="A33" s="124"/>
      <c r="B33" s="125"/>
      <c r="C33" s="125" t="s">
        <v>557</v>
      </c>
      <c r="D33" s="151"/>
      <c r="E33" s="151"/>
      <c r="F33" s="5"/>
      <c r="G33" s="1"/>
      <c r="H33" s="1"/>
      <c r="I33" s="1"/>
      <c r="J33" s="1"/>
      <c r="K33" s="1"/>
      <c r="L33" s="1"/>
      <c r="M33" s="1"/>
      <c r="N33" s="1"/>
      <c r="O33" s="1"/>
      <c r="P33" s="1"/>
      <c r="Q33" s="10"/>
    </row>
    <row r="34" spans="1:17" x14ac:dyDescent="0.3">
      <c r="A34" s="124"/>
      <c r="B34" s="125"/>
      <c r="C34" s="125" t="s">
        <v>555</v>
      </c>
      <c r="D34" s="151"/>
      <c r="E34" s="151"/>
      <c r="F34" s="5"/>
      <c r="G34" s="1"/>
      <c r="H34" s="1"/>
      <c r="I34" s="1"/>
      <c r="J34" s="1"/>
      <c r="K34" s="1"/>
      <c r="L34" s="1"/>
      <c r="M34" s="1"/>
      <c r="N34" s="1"/>
      <c r="O34" s="1"/>
      <c r="P34" s="1"/>
      <c r="Q34" s="10"/>
    </row>
    <row r="35" spans="1:17" x14ac:dyDescent="0.3">
      <c r="A35" s="124"/>
      <c r="B35" s="125" t="s">
        <v>18</v>
      </c>
      <c r="C35" s="125"/>
      <c r="D35" s="151"/>
      <c r="E35" s="151"/>
      <c r="F35" s="5">
        <v>2</v>
      </c>
      <c r="G35" s="1">
        <v>2</v>
      </c>
      <c r="H35" s="1">
        <v>2</v>
      </c>
      <c r="I35" s="1">
        <v>2</v>
      </c>
      <c r="J35" s="1">
        <v>4</v>
      </c>
      <c r="K35" s="1">
        <v>4</v>
      </c>
      <c r="L35" s="1">
        <v>2</v>
      </c>
      <c r="M35" s="1">
        <v>4</v>
      </c>
      <c r="N35" s="1">
        <v>2</v>
      </c>
      <c r="O35" s="1">
        <v>4</v>
      </c>
      <c r="P35" s="1">
        <v>2</v>
      </c>
      <c r="Q35" s="10">
        <v>3</v>
      </c>
    </row>
    <row r="36" spans="1:17" x14ac:dyDescent="0.3">
      <c r="A36" s="124"/>
      <c r="B36" s="125"/>
      <c r="C36" s="125" t="s">
        <v>16</v>
      </c>
      <c r="D36" s="151"/>
      <c r="E36" s="151"/>
      <c r="F36" s="5"/>
      <c r="G36" s="1"/>
      <c r="H36" s="1"/>
      <c r="I36" s="1"/>
      <c r="J36" s="1"/>
      <c r="K36" s="1"/>
      <c r="L36" s="1"/>
      <c r="M36" s="1"/>
      <c r="N36" s="1"/>
      <c r="O36" s="1"/>
      <c r="P36" s="1"/>
      <c r="Q36" s="10"/>
    </row>
    <row r="37" spans="1:17" x14ac:dyDescent="0.3">
      <c r="A37" s="124"/>
      <c r="B37" s="125"/>
      <c r="C37" s="125" t="s">
        <v>444</v>
      </c>
      <c r="D37" s="151"/>
      <c r="E37" s="151"/>
      <c r="F37" s="5"/>
      <c r="G37" s="1"/>
      <c r="H37" s="1"/>
      <c r="I37" s="1"/>
      <c r="J37" s="1"/>
      <c r="K37" s="1"/>
      <c r="L37" s="1"/>
      <c r="M37" s="1"/>
      <c r="N37" s="1"/>
      <c r="O37" s="1"/>
      <c r="P37" s="1"/>
      <c r="Q37" s="10"/>
    </row>
    <row r="38" spans="1:17" x14ac:dyDescent="0.3">
      <c r="A38" s="124"/>
      <c r="B38" s="125" t="s">
        <v>548</v>
      </c>
      <c r="C38" s="125"/>
      <c r="D38" s="151"/>
      <c r="E38" s="151"/>
      <c r="F38" s="5">
        <v>2</v>
      </c>
      <c r="G38" s="1">
        <v>2</v>
      </c>
      <c r="H38" s="1">
        <v>2</v>
      </c>
      <c r="I38" s="1">
        <v>2</v>
      </c>
      <c r="J38" s="1">
        <v>4</v>
      </c>
      <c r="K38" s="1">
        <v>4</v>
      </c>
      <c r="L38" s="1">
        <v>2</v>
      </c>
      <c r="M38" s="1">
        <v>4</v>
      </c>
      <c r="N38" s="1">
        <v>2</v>
      </c>
      <c r="O38" s="1">
        <v>4</v>
      </c>
      <c r="P38" s="1">
        <v>2</v>
      </c>
      <c r="Q38" s="10">
        <v>3</v>
      </c>
    </row>
    <row r="39" spans="1:17" x14ac:dyDescent="0.3">
      <c r="A39" s="124"/>
      <c r="B39" s="125"/>
      <c r="C39" s="125" t="s">
        <v>16</v>
      </c>
      <c r="D39" s="151"/>
      <c r="E39" s="151"/>
      <c r="F39" s="5"/>
      <c r="G39" s="1"/>
      <c r="H39" s="1"/>
      <c r="I39" s="1"/>
      <c r="J39" s="1"/>
      <c r="K39" s="1"/>
      <c r="L39" s="1"/>
      <c r="M39" s="1"/>
      <c r="N39" s="1"/>
      <c r="O39" s="1"/>
      <c r="P39" s="1"/>
      <c r="Q39" s="10"/>
    </row>
    <row r="40" spans="1:17" x14ac:dyDescent="0.3">
      <c r="A40" s="124"/>
      <c r="B40" s="125"/>
      <c r="C40" s="125" t="s">
        <v>444</v>
      </c>
      <c r="D40" s="151"/>
      <c r="E40" s="151"/>
      <c r="F40" s="5"/>
      <c r="G40" s="1"/>
      <c r="H40" s="1"/>
      <c r="I40" s="1"/>
      <c r="J40" s="1"/>
      <c r="K40" s="1"/>
      <c r="L40" s="1"/>
      <c r="M40" s="1"/>
      <c r="N40" s="1"/>
      <c r="O40" s="1"/>
      <c r="P40" s="1"/>
      <c r="Q40" s="10"/>
    </row>
    <row r="41" spans="1:17" x14ac:dyDescent="0.3">
      <c r="A41" s="124"/>
      <c r="B41" s="125" t="s">
        <v>558</v>
      </c>
      <c r="C41" s="125"/>
      <c r="D41" s="151"/>
      <c r="E41" s="151"/>
      <c r="F41" s="5">
        <v>3</v>
      </c>
      <c r="G41" s="1">
        <v>3</v>
      </c>
      <c r="H41" s="1">
        <v>3</v>
      </c>
      <c r="I41" s="1">
        <v>4</v>
      </c>
      <c r="J41" s="1">
        <v>6</v>
      </c>
      <c r="K41" s="1">
        <v>6</v>
      </c>
      <c r="L41" s="1">
        <v>3</v>
      </c>
      <c r="M41" s="1">
        <v>5</v>
      </c>
      <c r="N41" s="1">
        <v>2</v>
      </c>
      <c r="O41" s="1">
        <v>4</v>
      </c>
      <c r="P41" s="1">
        <v>3</v>
      </c>
      <c r="Q41" s="10">
        <v>4</v>
      </c>
    </row>
    <row r="42" spans="1:17" x14ac:dyDescent="0.3">
      <c r="A42" s="124"/>
      <c r="B42" s="125"/>
      <c r="C42" s="125" t="s">
        <v>16</v>
      </c>
      <c r="D42" s="151"/>
      <c r="E42" s="151"/>
      <c r="F42" s="5"/>
      <c r="G42" s="1"/>
      <c r="H42" s="1"/>
      <c r="I42" s="1"/>
      <c r="J42" s="1"/>
      <c r="K42" s="1"/>
      <c r="L42" s="1"/>
      <c r="M42" s="1"/>
      <c r="N42" s="1"/>
      <c r="O42" s="1"/>
      <c r="P42" s="1"/>
      <c r="Q42" s="10"/>
    </row>
    <row r="43" spans="1:17" x14ac:dyDescent="0.3">
      <c r="A43" s="124"/>
      <c r="B43" s="125"/>
      <c r="C43" s="125" t="s">
        <v>444</v>
      </c>
      <c r="D43" s="151"/>
      <c r="E43" s="151"/>
      <c r="F43" s="5"/>
      <c r="G43" s="1"/>
      <c r="H43" s="1"/>
      <c r="I43" s="1"/>
      <c r="J43" s="1"/>
      <c r="K43" s="1"/>
      <c r="L43" s="1"/>
      <c r="M43" s="1"/>
      <c r="N43" s="1"/>
      <c r="O43" s="1"/>
      <c r="P43" s="1"/>
      <c r="Q43" s="10"/>
    </row>
    <row r="44" spans="1:17" x14ac:dyDescent="0.3">
      <c r="A44" s="124"/>
      <c r="B44" s="125"/>
      <c r="C44" s="125" t="s">
        <v>559</v>
      </c>
      <c r="D44" s="151"/>
      <c r="E44" s="151"/>
      <c r="F44" s="5"/>
      <c r="G44" s="1"/>
      <c r="H44" s="1"/>
      <c r="I44" s="1"/>
      <c r="J44" s="1"/>
      <c r="K44" s="1"/>
      <c r="L44" s="1"/>
      <c r="M44" s="1"/>
      <c r="N44" s="1"/>
      <c r="O44" s="1"/>
      <c r="P44" s="1"/>
      <c r="Q44" s="10"/>
    </row>
    <row r="45" spans="1:17" x14ac:dyDescent="0.3">
      <c r="A45" s="124"/>
      <c r="B45" s="125"/>
      <c r="C45" s="125" t="s">
        <v>560</v>
      </c>
      <c r="D45" s="151"/>
      <c r="E45" s="151"/>
      <c r="F45" s="5"/>
      <c r="G45" s="1"/>
      <c r="H45" s="1"/>
      <c r="I45" s="1"/>
      <c r="J45" s="1"/>
      <c r="K45" s="1"/>
      <c r="L45" s="1"/>
      <c r="M45" s="1"/>
      <c r="N45" s="1"/>
      <c r="O45" s="1"/>
      <c r="P45" s="1"/>
      <c r="Q45" s="10"/>
    </row>
    <row r="46" spans="1:17" x14ac:dyDescent="0.3">
      <c r="A46" s="124"/>
      <c r="B46" s="125"/>
      <c r="C46" s="125" t="s">
        <v>555</v>
      </c>
      <c r="D46" s="151"/>
      <c r="E46" s="151"/>
      <c r="F46" s="5"/>
      <c r="G46" s="1"/>
      <c r="H46" s="1"/>
      <c r="I46" s="1"/>
      <c r="J46" s="1"/>
      <c r="K46" s="1"/>
      <c r="L46" s="1"/>
      <c r="M46" s="1"/>
      <c r="N46" s="1"/>
      <c r="O46" s="1"/>
      <c r="P46" s="1"/>
      <c r="Q46" s="10"/>
    </row>
    <row r="47" spans="1:17" x14ac:dyDescent="0.3">
      <c r="A47" s="124"/>
      <c r="B47" s="125" t="s">
        <v>23</v>
      </c>
      <c r="C47" s="125"/>
      <c r="D47" s="151"/>
      <c r="E47" s="151"/>
      <c r="F47" s="5">
        <v>4</v>
      </c>
      <c r="G47" s="1">
        <v>4</v>
      </c>
      <c r="H47" s="1">
        <v>4</v>
      </c>
      <c r="I47" s="1">
        <v>6</v>
      </c>
      <c r="J47" s="1">
        <v>10</v>
      </c>
      <c r="K47" s="1">
        <v>10</v>
      </c>
      <c r="L47" s="1">
        <v>6</v>
      </c>
      <c r="M47" s="1">
        <v>8</v>
      </c>
      <c r="N47" s="1">
        <v>4</v>
      </c>
      <c r="O47" s="1">
        <v>7</v>
      </c>
      <c r="P47" s="1">
        <v>5</v>
      </c>
      <c r="Q47" s="10">
        <v>7</v>
      </c>
    </row>
    <row r="48" spans="1:17" x14ac:dyDescent="0.3">
      <c r="A48" s="124"/>
      <c r="B48" s="125"/>
      <c r="C48" s="125" t="s">
        <v>561</v>
      </c>
      <c r="D48" s="151"/>
      <c r="E48" s="151"/>
      <c r="F48" s="5"/>
      <c r="G48" s="1"/>
      <c r="H48" s="1"/>
      <c r="I48" s="1"/>
      <c r="J48" s="1"/>
      <c r="K48" s="1"/>
      <c r="L48" s="1"/>
      <c r="M48" s="1"/>
      <c r="N48" s="1"/>
      <c r="O48" s="1"/>
      <c r="P48" s="1"/>
      <c r="Q48" s="10"/>
    </row>
    <row r="49" spans="1:17" x14ac:dyDescent="0.3">
      <c r="A49" s="124"/>
      <c r="B49" s="125"/>
      <c r="C49" s="125" t="s">
        <v>562</v>
      </c>
      <c r="D49" s="151"/>
      <c r="E49" s="151"/>
      <c r="F49" s="5"/>
      <c r="G49" s="1"/>
      <c r="H49" s="1"/>
      <c r="I49" s="1"/>
      <c r="J49" s="1"/>
      <c r="K49" s="1"/>
      <c r="L49" s="1"/>
      <c r="M49" s="1"/>
      <c r="N49" s="1"/>
      <c r="O49" s="1"/>
      <c r="P49" s="1"/>
      <c r="Q49" s="10"/>
    </row>
    <row r="50" spans="1:17" x14ac:dyDescent="0.3">
      <c r="A50" s="124"/>
      <c r="B50" s="125"/>
      <c r="C50" s="125" t="s">
        <v>563</v>
      </c>
      <c r="D50" s="151"/>
      <c r="E50" s="151"/>
      <c r="F50" s="5"/>
      <c r="G50" s="1"/>
      <c r="H50" s="1"/>
      <c r="I50" s="1"/>
      <c r="J50" s="1"/>
      <c r="K50" s="1"/>
      <c r="L50" s="1"/>
      <c r="M50" s="1"/>
      <c r="N50" s="1"/>
      <c r="O50" s="1"/>
      <c r="P50" s="1"/>
      <c r="Q50" s="10"/>
    </row>
    <row r="51" spans="1:17" x14ac:dyDescent="0.3">
      <c r="A51" s="124"/>
      <c r="B51" s="125" t="s">
        <v>549</v>
      </c>
      <c r="C51" s="125"/>
      <c r="D51" s="151"/>
      <c r="E51" s="151"/>
      <c r="F51" s="5">
        <v>2</v>
      </c>
      <c r="G51" s="1">
        <v>2</v>
      </c>
      <c r="H51" s="1">
        <v>3</v>
      </c>
      <c r="I51" s="1">
        <v>4</v>
      </c>
      <c r="J51" s="1">
        <v>6</v>
      </c>
      <c r="K51" s="1">
        <v>6</v>
      </c>
      <c r="L51" s="1">
        <v>4</v>
      </c>
      <c r="M51" s="1">
        <v>6</v>
      </c>
      <c r="N51" s="1">
        <v>3</v>
      </c>
      <c r="O51" s="1">
        <v>5</v>
      </c>
      <c r="P51" s="1">
        <v>3</v>
      </c>
      <c r="Q51" s="10">
        <v>4</v>
      </c>
    </row>
    <row r="52" spans="1:17" x14ac:dyDescent="0.3">
      <c r="A52" s="124"/>
      <c r="B52" s="125"/>
      <c r="C52" s="125" t="s">
        <v>16</v>
      </c>
      <c r="D52" s="151"/>
      <c r="E52" s="151"/>
      <c r="F52" s="5"/>
      <c r="G52" s="1"/>
      <c r="H52" s="1"/>
      <c r="I52" s="1"/>
      <c r="J52" s="1"/>
      <c r="K52" s="1"/>
      <c r="L52" s="1"/>
      <c r="M52" s="1"/>
      <c r="N52" s="1"/>
      <c r="O52" s="1"/>
      <c r="P52" s="1"/>
      <c r="Q52" s="10"/>
    </row>
    <row r="53" spans="1:17" x14ac:dyDescent="0.3">
      <c r="A53" s="124"/>
      <c r="B53" s="125"/>
      <c r="C53" s="125" t="s">
        <v>444</v>
      </c>
      <c r="D53" s="151"/>
      <c r="E53" s="151"/>
      <c r="F53" s="5"/>
      <c r="G53" s="1"/>
      <c r="H53" s="1"/>
      <c r="I53" s="1"/>
      <c r="J53" s="1"/>
      <c r="K53" s="1"/>
      <c r="L53" s="1"/>
      <c r="M53" s="1"/>
      <c r="N53" s="1"/>
      <c r="O53" s="1"/>
      <c r="P53" s="1"/>
      <c r="Q53" s="10"/>
    </row>
    <row r="54" spans="1:17" x14ac:dyDescent="0.3">
      <c r="A54" s="124"/>
      <c r="B54" s="125"/>
      <c r="C54" s="125" t="s">
        <v>564</v>
      </c>
      <c r="D54" s="151"/>
      <c r="E54" s="151"/>
      <c r="F54" s="5"/>
      <c r="G54" s="1"/>
      <c r="H54" s="1"/>
      <c r="I54" s="1"/>
      <c r="J54" s="1"/>
      <c r="K54" s="1"/>
      <c r="L54" s="1"/>
      <c r="M54" s="1"/>
      <c r="N54" s="1"/>
      <c r="O54" s="1"/>
      <c r="P54" s="1"/>
      <c r="Q54" s="10"/>
    </row>
    <row r="55" spans="1:17" x14ac:dyDescent="0.3">
      <c r="A55" s="124"/>
      <c r="B55" s="125"/>
      <c r="C55" s="125" t="s">
        <v>565</v>
      </c>
      <c r="D55" s="151"/>
      <c r="E55" s="151"/>
      <c r="F55" s="5"/>
      <c r="G55" s="1"/>
      <c r="H55" s="1"/>
      <c r="I55" s="1"/>
      <c r="J55" s="1"/>
      <c r="K55" s="1"/>
      <c r="L55" s="1"/>
      <c r="M55" s="1"/>
      <c r="N55" s="1"/>
      <c r="O55" s="1"/>
      <c r="P55" s="1"/>
      <c r="Q55" s="10"/>
    </row>
    <row r="56" spans="1:17" x14ac:dyDescent="0.3">
      <c r="A56" s="124"/>
      <c r="B56" s="125"/>
      <c r="C56" s="125" t="s">
        <v>566</v>
      </c>
      <c r="D56" s="151"/>
      <c r="E56" s="151"/>
      <c r="F56" s="5"/>
      <c r="G56" s="1"/>
      <c r="H56" s="1"/>
      <c r="I56" s="1"/>
      <c r="J56" s="1"/>
      <c r="K56" s="1"/>
      <c r="L56" s="1"/>
      <c r="M56" s="1"/>
      <c r="N56" s="1"/>
      <c r="O56" s="1"/>
      <c r="P56" s="1"/>
      <c r="Q56" s="10"/>
    </row>
    <row r="57" spans="1:17" x14ac:dyDescent="0.3">
      <c r="A57" s="124"/>
      <c r="B57" s="125"/>
      <c r="C57" s="125" t="s">
        <v>555</v>
      </c>
      <c r="D57" s="151"/>
      <c r="E57" s="151"/>
      <c r="F57" s="5"/>
      <c r="G57" s="1"/>
      <c r="H57" s="1"/>
      <c r="I57" s="1"/>
      <c r="J57" s="1"/>
      <c r="K57" s="1"/>
      <c r="L57" s="1"/>
      <c r="M57" s="1"/>
      <c r="N57" s="1"/>
      <c r="O57" s="1"/>
      <c r="P57" s="1"/>
      <c r="Q57" s="10"/>
    </row>
    <row r="58" spans="1:17" x14ac:dyDescent="0.3">
      <c r="A58" s="124"/>
      <c r="B58" s="125" t="s">
        <v>15</v>
      </c>
      <c r="C58" s="125"/>
      <c r="D58" s="151"/>
      <c r="E58" s="151"/>
      <c r="F58" s="5">
        <v>3</v>
      </c>
      <c r="G58" s="1">
        <v>3</v>
      </c>
      <c r="H58" s="1">
        <v>3</v>
      </c>
      <c r="I58" s="1">
        <v>4</v>
      </c>
      <c r="J58" s="1">
        <v>6</v>
      </c>
      <c r="K58" s="1">
        <v>6</v>
      </c>
      <c r="L58" s="1">
        <v>3</v>
      </c>
      <c r="M58" s="1">
        <v>5</v>
      </c>
      <c r="N58" s="1">
        <v>2</v>
      </c>
      <c r="O58" s="1">
        <v>4</v>
      </c>
      <c r="P58" s="1">
        <v>3</v>
      </c>
      <c r="Q58" s="10">
        <v>4</v>
      </c>
    </row>
    <row r="59" spans="1:17" x14ac:dyDescent="0.3">
      <c r="A59" s="124"/>
      <c r="B59" s="125"/>
      <c r="C59" s="125" t="s">
        <v>16</v>
      </c>
      <c r="D59" s="151"/>
      <c r="E59" s="151"/>
      <c r="F59" s="5"/>
      <c r="G59" s="1"/>
      <c r="H59" s="1"/>
      <c r="I59" s="1"/>
      <c r="J59" s="1"/>
      <c r="K59" s="1"/>
      <c r="L59" s="1"/>
      <c r="M59" s="1"/>
      <c r="N59" s="1"/>
      <c r="O59" s="1"/>
      <c r="P59" s="1"/>
      <c r="Q59" s="10"/>
    </row>
    <row r="60" spans="1:17" x14ac:dyDescent="0.3">
      <c r="A60" s="124"/>
      <c r="B60" s="125"/>
      <c r="C60" s="125" t="s">
        <v>444</v>
      </c>
      <c r="D60" s="151"/>
      <c r="E60" s="151"/>
      <c r="F60" s="5"/>
      <c r="G60" s="1"/>
      <c r="H60" s="1"/>
      <c r="I60" s="1"/>
      <c r="J60" s="1"/>
      <c r="K60" s="1"/>
      <c r="L60" s="1"/>
      <c r="M60" s="1"/>
      <c r="N60" s="1"/>
      <c r="O60" s="1"/>
      <c r="P60" s="1"/>
      <c r="Q60" s="10"/>
    </row>
    <row r="61" spans="1:17" x14ac:dyDescent="0.3">
      <c r="A61" s="124"/>
      <c r="B61" s="125"/>
      <c r="C61" s="125" t="s">
        <v>448</v>
      </c>
      <c r="D61" s="151"/>
      <c r="E61" s="151"/>
      <c r="F61" s="5"/>
      <c r="G61" s="1"/>
      <c r="H61" s="1"/>
      <c r="I61" s="1"/>
      <c r="J61" s="1"/>
      <c r="K61" s="1"/>
      <c r="L61" s="1"/>
      <c r="M61" s="1"/>
      <c r="N61" s="1"/>
      <c r="O61" s="1"/>
      <c r="P61" s="1"/>
      <c r="Q61" s="10"/>
    </row>
    <row r="62" spans="1:17" x14ac:dyDescent="0.3">
      <c r="A62" s="124"/>
      <c r="B62" s="125"/>
      <c r="C62" s="125" t="s">
        <v>567</v>
      </c>
      <c r="D62" s="151"/>
      <c r="E62" s="151"/>
      <c r="F62" s="5"/>
      <c r="G62" s="1"/>
      <c r="H62" s="1"/>
      <c r="I62" s="1"/>
      <c r="J62" s="1"/>
      <c r="K62" s="1"/>
      <c r="L62" s="1"/>
      <c r="M62" s="1"/>
      <c r="N62" s="1"/>
      <c r="O62" s="1"/>
      <c r="P62" s="1"/>
      <c r="Q62" s="10"/>
    </row>
    <row r="63" spans="1:17" x14ac:dyDescent="0.3">
      <c r="A63" s="124"/>
      <c r="B63" s="125" t="s">
        <v>526</v>
      </c>
      <c r="C63" s="125"/>
      <c r="D63" s="151"/>
      <c r="E63" s="151"/>
      <c r="F63" s="5">
        <v>2</v>
      </c>
      <c r="G63" s="1">
        <v>2</v>
      </c>
      <c r="H63" s="1">
        <v>2</v>
      </c>
      <c r="I63" s="1">
        <v>3</v>
      </c>
      <c r="J63" s="1">
        <v>5</v>
      </c>
      <c r="K63" s="1">
        <v>5</v>
      </c>
      <c r="L63" s="1">
        <v>2</v>
      </c>
      <c r="M63" s="1">
        <v>3</v>
      </c>
      <c r="N63" s="1">
        <v>1</v>
      </c>
      <c r="O63" s="1">
        <v>2</v>
      </c>
      <c r="P63" s="1">
        <v>2</v>
      </c>
      <c r="Q63" s="10">
        <v>3</v>
      </c>
    </row>
    <row r="64" spans="1:17" x14ac:dyDescent="0.3">
      <c r="A64" s="124"/>
      <c r="B64" s="125" t="s">
        <v>527</v>
      </c>
      <c r="C64" s="125"/>
      <c r="D64" s="151"/>
      <c r="E64" s="151"/>
      <c r="F64" s="5">
        <v>3</v>
      </c>
      <c r="G64" s="1">
        <v>3</v>
      </c>
      <c r="H64" s="1">
        <v>4</v>
      </c>
      <c r="I64" s="1">
        <v>4</v>
      </c>
      <c r="J64" s="1">
        <v>8</v>
      </c>
      <c r="K64" s="1">
        <v>8</v>
      </c>
      <c r="L64" s="1">
        <v>4</v>
      </c>
      <c r="M64" s="1">
        <v>8</v>
      </c>
      <c r="N64" s="1">
        <v>2</v>
      </c>
      <c r="O64" s="1">
        <v>5</v>
      </c>
      <c r="P64" s="1">
        <v>4</v>
      </c>
      <c r="Q64" s="10">
        <v>5</v>
      </c>
    </row>
    <row r="65" spans="1:17" ht="15" thickBot="1" x14ac:dyDescent="0.35">
      <c r="A65" s="59"/>
      <c r="B65" s="60"/>
      <c r="C65" s="60"/>
      <c r="D65" s="61"/>
      <c r="E65" s="61"/>
      <c r="F65" s="147"/>
      <c r="G65" s="40"/>
      <c r="H65" s="40"/>
      <c r="I65" s="40"/>
      <c r="J65" s="40"/>
      <c r="K65" s="40"/>
      <c r="L65" s="40"/>
      <c r="M65" s="40"/>
      <c r="N65" s="40"/>
      <c r="O65" s="40"/>
      <c r="P65" s="40"/>
      <c r="Q65" s="11"/>
    </row>
    <row r="66" spans="1:17" ht="15" thickBot="1" x14ac:dyDescent="0.35">
      <c r="A66" s="59"/>
      <c r="B66" s="60">
        <f>COUNTA(Table9[User Story])</f>
        <v>13</v>
      </c>
      <c r="C66" s="60">
        <f>COUNTA(Table9[Task])</f>
        <v>49</v>
      </c>
      <c r="D66" s="60">
        <f>COUNTA(Table9[Sub Task])</f>
        <v>0</v>
      </c>
      <c r="E66" s="60">
        <f>COUNTA(Table9[Web Forms])</f>
        <v>22</v>
      </c>
      <c r="F66" s="12"/>
      <c r="G66" s="15"/>
      <c r="H66" s="15"/>
      <c r="I66" s="15"/>
      <c r="J66" s="15"/>
      <c r="K66" s="15"/>
      <c r="L66" s="15"/>
      <c r="M66" s="15"/>
      <c r="N66" s="15"/>
      <c r="O66" s="15"/>
      <c r="P66" s="15"/>
      <c r="Q66" s="44"/>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DED9-CD77-4224-B82B-EA9E0D866114}">
  <dimension ref="A1:S107"/>
  <sheetViews>
    <sheetView zoomScale="101" zoomScaleNormal="101" workbookViewId="0">
      <pane ySplit="1" topLeftCell="A83" activePane="bottomLeft" state="frozen"/>
      <selection pane="bottomLeft" activeCell="B34" sqref="B34:B106"/>
    </sheetView>
  </sheetViews>
  <sheetFormatPr defaultRowHeight="14.4" x14ac:dyDescent="0.3"/>
  <cols>
    <col min="1" max="1" width="12.44140625" bestFit="1" customWidth="1"/>
    <col min="2" max="2" width="24.33203125" bestFit="1" customWidth="1"/>
    <col min="3" max="3" width="24" bestFit="1" customWidth="1"/>
    <col min="4" max="4" width="20.109375" bestFit="1" customWidth="1"/>
    <col min="5" max="5" width="20.109375" customWidth="1"/>
    <col min="6" max="6" width="8" bestFit="1" customWidth="1"/>
    <col min="7" max="7" width="7.6640625" bestFit="1" customWidth="1"/>
    <col min="8" max="8" width="13.33203125" bestFit="1" customWidth="1"/>
    <col min="9" max="9" width="14.109375" bestFit="1" customWidth="1"/>
    <col min="10" max="11" width="9.6640625" bestFit="1" customWidth="1"/>
    <col min="12" max="12" width="13.6640625" bestFit="1" customWidth="1"/>
    <col min="13" max="13" width="17.109375" bestFit="1" customWidth="1"/>
    <col min="14" max="14" width="9.109375" bestFit="1" customWidth="1"/>
    <col min="15" max="15" width="17.109375" bestFit="1" customWidth="1"/>
    <col min="16" max="16" width="7.6640625" bestFit="1" customWidth="1"/>
    <col min="17" max="17" width="7.33203125" bestFit="1" customWidth="1"/>
    <col min="18" max="18" width="18.88671875" bestFit="1" customWidth="1"/>
    <col min="19" max="19" width="20.33203125" bestFit="1" customWidth="1"/>
  </cols>
  <sheetData>
    <row r="1" spans="1:19" x14ac:dyDescent="0.3">
      <c r="A1" s="148" t="s">
        <v>568</v>
      </c>
      <c r="B1" s="149" t="s">
        <v>151</v>
      </c>
      <c r="C1" s="149" t="s">
        <v>3</v>
      </c>
      <c r="D1" s="150" t="s">
        <v>152</v>
      </c>
      <c r="E1" s="180" t="s">
        <v>68</v>
      </c>
      <c r="F1" s="145" t="s">
        <v>81</v>
      </c>
      <c r="G1" s="143" t="s">
        <v>61</v>
      </c>
      <c r="H1" s="143" t="s">
        <v>82</v>
      </c>
      <c r="I1" s="143" t="s">
        <v>83</v>
      </c>
      <c r="J1" s="143" t="s">
        <v>84</v>
      </c>
      <c r="K1" s="143" t="s">
        <v>85</v>
      </c>
      <c r="L1" s="143" t="s">
        <v>86</v>
      </c>
      <c r="M1" s="143" t="s">
        <v>87</v>
      </c>
      <c r="N1" s="143" t="s">
        <v>88</v>
      </c>
      <c r="O1" s="143" t="s">
        <v>89</v>
      </c>
      <c r="P1" s="143" t="s">
        <v>90</v>
      </c>
      <c r="Q1" s="143" t="s">
        <v>91</v>
      </c>
      <c r="R1" s="143" t="s">
        <v>92</v>
      </c>
      <c r="S1" s="144" t="s">
        <v>93</v>
      </c>
    </row>
    <row r="2" spans="1:19" x14ac:dyDescent="0.3">
      <c r="A2" s="124" t="s">
        <v>536</v>
      </c>
      <c r="B2" s="125"/>
      <c r="C2" s="125"/>
      <c r="D2" s="151"/>
      <c r="E2" s="9" t="s">
        <v>14</v>
      </c>
      <c r="F2" s="5"/>
      <c r="G2" s="1"/>
      <c r="H2" s="1"/>
      <c r="I2" s="1"/>
      <c r="J2" s="1"/>
      <c r="K2" s="1"/>
      <c r="L2" s="1"/>
      <c r="M2" s="1"/>
      <c r="N2" s="1"/>
      <c r="O2" s="1"/>
      <c r="P2" s="1"/>
      <c r="Q2" s="1"/>
      <c r="R2" s="1">
        <v>20</v>
      </c>
      <c r="S2" s="6">
        <v>20</v>
      </c>
    </row>
    <row r="3" spans="1:19" x14ac:dyDescent="0.3">
      <c r="A3" s="124"/>
      <c r="B3" s="125" t="s">
        <v>9</v>
      </c>
      <c r="C3" s="125"/>
      <c r="D3" s="151"/>
      <c r="E3" s="181" t="s">
        <v>15</v>
      </c>
      <c r="F3" s="5">
        <v>1</v>
      </c>
      <c r="G3" s="1">
        <v>1</v>
      </c>
      <c r="H3" s="1">
        <v>2</v>
      </c>
      <c r="I3" s="1">
        <v>2</v>
      </c>
      <c r="J3" s="1">
        <v>3</v>
      </c>
      <c r="K3" s="1">
        <v>3</v>
      </c>
      <c r="L3" s="1">
        <v>1</v>
      </c>
      <c r="M3" s="1">
        <v>2</v>
      </c>
      <c r="N3" s="1">
        <v>1</v>
      </c>
      <c r="O3" s="1">
        <v>1</v>
      </c>
      <c r="P3" s="1">
        <v>2</v>
      </c>
      <c r="Q3" s="1">
        <v>2</v>
      </c>
      <c r="R3" s="1"/>
      <c r="S3" s="6"/>
    </row>
    <row r="4" spans="1:19" x14ac:dyDescent="0.3">
      <c r="A4" s="124"/>
      <c r="B4" s="125" t="s">
        <v>569</v>
      </c>
      <c r="C4" s="125"/>
      <c r="D4" s="151"/>
      <c r="E4" s="181" t="s">
        <v>18</v>
      </c>
      <c r="F4" s="5"/>
      <c r="G4" s="1"/>
      <c r="H4" s="1"/>
      <c r="I4" s="1"/>
      <c r="J4" s="1"/>
      <c r="K4" s="1"/>
      <c r="L4" s="1"/>
      <c r="M4" s="1"/>
      <c r="N4" s="1"/>
      <c r="O4" s="1"/>
      <c r="P4" s="1"/>
      <c r="Q4" s="1"/>
      <c r="R4" s="1"/>
      <c r="S4" s="6"/>
    </row>
    <row r="5" spans="1:19" x14ac:dyDescent="0.3">
      <c r="A5" s="124"/>
      <c r="B5" s="125" t="s">
        <v>12</v>
      </c>
      <c r="C5" s="125"/>
      <c r="D5" s="151"/>
      <c r="E5" s="186" t="s">
        <v>570</v>
      </c>
      <c r="F5" s="5"/>
      <c r="G5" s="1"/>
      <c r="H5" s="1"/>
      <c r="I5" s="1"/>
      <c r="J5" s="1"/>
      <c r="K5" s="1"/>
      <c r="L5" s="1"/>
      <c r="M5" s="1"/>
      <c r="N5" s="1"/>
      <c r="O5" s="1"/>
      <c r="P5" s="1"/>
      <c r="Q5" s="1"/>
      <c r="R5" s="1"/>
      <c r="S5" s="6"/>
    </row>
    <row r="6" spans="1:19" x14ac:dyDescent="0.3">
      <c r="A6" s="124"/>
      <c r="B6" s="125" t="s">
        <v>571</v>
      </c>
      <c r="C6" s="125"/>
      <c r="D6" s="151"/>
      <c r="E6" s="186" t="s">
        <v>572</v>
      </c>
      <c r="F6" s="5"/>
      <c r="G6" s="1"/>
      <c r="H6" s="1"/>
      <c r="I6" s="1"/>
      <c r="J6" s="1"/>
      <c r="K6" s="1"/>
      <c r="L6" s="1"/>
      <c r="M6" s="1"/>
      <c r="N6" s="1"/>
      <c r="O6" s="1"/>
      <c r="P6" s="1"/>
      <c r="Q6" s="1"/>
      <c r="R6" s="1"/>
      <c r="S6" s="6"/>
    </row>
    <row r="7" spans="1:19" x14ac:dyDescent="0.3">
      <c r="A7" s="124"/>
      <c r="B7" s="125" t="s">
        <v>533</v>
      </c>
      <c r="C7" s="125"/>
      <c r="D7" s="151"/>
      <c r="E7" s="186" t="s">
        <v>573</v>
      </c>
      <c r="F7" s="5"/>
      <c r="G7" s="1"/>
      <c r="H7" s="1"/>
      <c r="I7" s="1"/>
      <c r="J7" s="1"/>
      <c r="K7" s="1"/>
      <c r="L7" s="1"/>
      <c r="M7" s="1"/>
      <c r="N7" s="1"/>
      <c r="O7" s="1"/>
      <c r="P7" s="1"/>
      <c r="Q7" s="1"/>
      <c r="R7" s="1"/>
      <c r="S7" s="6"/>
    </row>
    <row r="8" spans="1:19" x14ac:dyDescent="0.3">
      <c r="A8" s="124" t="s">
        <v>14</v>
      </c>
      <c r="B8" s="125"/>
      <c r="C8" s="125"/>
      <c r="D8" s="151"/>
      <c r="E8" s="186" t="s">
        <v>574</v>
      </c>
      <c r="F8" s="5">
        <v>1</v>
      </c>
      <c r="G8" s="1">
        <v>1</v>
      </c>
      <c r="H8" s="1">
        <v>1</v>
      </c>
      <c r="I8" s="1">
        <v>2</v>
      </c>
      <c r="J8" s="1">
        <v>3</v>
      </c>
      <c r="K8" s="1">
        <v>3</v>
      </c>
      <c r="L8" s="1">
        <v>2</v>
      </c>
      <c r="M8" s="1">
        <v>1</v>
      </c>
      <c r="N8" s="1">
        <v>1</v>
      </c>
      <c r="O8" s="1">
        <v>2</v>
      </c>
      <c r="P8" s="1">
        <v>3</v>
      </c>
      <c r="Q8" s="1">
        <v>3</v>
      </c>
      <c r="R8" s="1"/>
      <c r="S8" s="6"/>
    </row>
    <row r="9" spans="1:19" x14ac:dyDescent="0.3">
      <c r="A9" s="124"/>
      <c r="B9" s="125" t="s">
        <v>575</v>
      </c>
      <c r="C9" s="125"/>
      <c r="D9" s="151"/>
      <c r="E9" s="181" t="s">
        <v>576</v>
      </c>
      <c r="F9" s="5"/>
      <c r="G9" s="1"/>
      <c r="H9" s="1"/>
      <c r="I9" s="1"/>
      <c r="J9" s="1"/>
      <c r="K9" s="1"/>
      <c r="L9" s="1"/>
      <c r="M9" s="1"/>
      <c r="N9" s="1"/>
      <c r="O9" s="1"/>
      <c r="P9" s="1"/>
      <c r="Q9" s="1"/>
      <c r="R9" s="1"/>
      <c r="S9" s="6"/>
    </row>
    <row r="10" spans="1:19" x14ac:dyDescent="0.3">
      <c r="A10" s="124"/>
      <c r="B10" s="125" t="s">
        <v>577</v>
      </c>
      <c r="C10" s="125"/>
      <c r="D10" s="151"/>
      <c r="E10" s="186" t="s">
        <v>20</v>
      </c>
      <c r="F10" s="5"/>
      <c r="G10" s="1"/>
      <c r="H10" s="1"/>
      <c r="I10" s="1"/>
      <c r="J10" s="1"/>
      <c r="K10" s="1"/>
      <c r="L10" s="1"/>
      <c r="M10" s="1"/>
      <c r="N10" s="1"/>
      <c r="O10" s="1"/>
      <c r="P10" s="1"/>
      <c r="Q10" s="1"/>
      <c r="R10" s="1"/>
      <c r="S10" s="6"/>
    </row>
    <row r="11" spans="1:19" x14ac:dyDescent="0.3">
      <c r="A11" s="124"/>
      <c r="B11" s="125" t="s">
        <v>578</v>
      </c>
      <c r="C11" s="125"/>
      <c r="D11" s="151"/>
      <c r="E11" s="187" t="s">
        <v>471</v>
      </c>
      <c r="F11" s="5"/>
      <c r="G11" s="1"/>
      <c r="H11" s="1"/>
      <c r="I11" s="1"/>
      <c r="J11" s="1"/>
      <c r="K11" s="1"/>
      <c r="L11" s="1"/>
      <c r="M11" s="1"/>
      <c r="N11" s="1"/>
      <c r="O11" s="1"/>
      <c r="P11" s="1"/>
      <c r="Q11" s="1"/>
      <c r="R11" s="1"/>
      <c r="S11" s="6"/>
    </row>
    <row r="12" spans="1:19" x14ac:dyDescent="0.3">
      <c r="A12" s="124"/>
      <c r="B12" s="125" t="s">
        <v>579</v>
      </c>
      <c r="C12" s="125"/>
      <c r="D12" s="151"/>
      <c r="E12" s="187" t="s">
        <v>541</v>
      </c>
      <c r="F12" s="5"/>
      <c r="G12" s="1"/>
      <c r="H12" s="1"/>
      <c r="I12" s="1"/>
      <c r="J12" s="1"/>
      <c r="K12" s="1"/>
      <c r="L12" s="1"/>
      <c r="M12" s="1"/>
      <c r="N12" s="1"/>
      <c r="O12" s="1"/>
      <c r="P12" s="1"/>
      <c r="Q12" s="1"/>
      <c r="R12" s="1"/>
      <c r="S12" s="6"/>
    </row>
    <row r="13" spans="1:19" x14ac:dyDescent="0.3">
      <c r="A13" s="124"/>
      <c r="B13" s="125" t="s">
        <v>580</v>
      </c>
      <c r="C13" s="125"/>
      <c r="D13" s="151"/>
      <c r="E13" s="187" t="s">
        <v>581</v>
      </c>
      <c r="F13" s="5"/>
      <c r="G13" s="1"/>
      <c r="H13" s="1"/>
      <c r="I13" s="1"/>
      <c r="J13" s="1"/>
      <c r="K13" s="1"/>
      <c r="L13" s="1"/>
      <c r="M13" s="1"/>
      <c r="N13" s="1"/>
      <c r="O13" s="1"/>
      <c r="P13" s="1"/>
      <c r="Q13" s="1"/>
      <c r="R13" s="1"/>
      <c r="S13" s="6"/>
    </row>
    <row r="14" spans="1:19" x14ac:dyDescent="0.3">
      <c r="A14" s="124"/>
      <c r="B14" s="125" t="s">
        <v>582</v>
      </c>
      <c r="C14" s="125"/>
      <c r="D14" s="151"/>
      <c r="E14" s="187" t="s">
        <v>583</v>
      </c>
      <c r="F14" s="5"/>
      <c r="G14" s="1"/>
      <c r="H14" s="1"/>
      <c r="I14" s="1"/>
      <c r="J14" s="1"/>
      <c r="K14" s="1"/>
      <c r="L14" s="1"/>
      <c r="M14" s="1"/>
      <c r="N14" s="1"/>
      <c r="O14" s="1"/>
      <c r="P14" s="1"/>
      <c r="Q14" s="1"/>
      <c r="R14" s="1"/>
      <c r="S14" s="6"/>
    </row>
    <row r="15" spans="1:19" x14ac:dyDescent="0.3">
      <c r="A15" s="124" t="s">
        <v>346</v>
      </c>
      <c r="B15" s="125"/>
      <c r="C15" s="125"/>
      <c r="D15" s="151"/>
      <c r="E15" s="186" t="s">
        <v>21</v>
      </c>
      <c r="F15" s="5">
        <v>2</v>
      </c>
      <c r="G15" s="1">
        <v>2</v>
      </c>
      <c r="H15" s="1">
        <v>2</v>
      </c>
      <c r="I15" s="1">
        <v>3</v>
      </c>
      <c r="J15" s="1">
        <v>5</v>
      </c>
      <c r="K15" s="1">
        <v>5</v>
      </c>
      <c r="L15" s="1">
        <v>2</v>
      </c>
      <c r="M15" s="1">
        <v>3</v>
      </c>
      <c r="N15" s="1">
        <v>1</v>
      </c>
      <c r="O15" s="1">
        <v>2</v>
      </c>
      <c r="P15" s="1">
        <v>2</v>
      </c>
      <c r="Q15" s="1">
        <v>3</v>
      </c>
      <c r="R15" s="1"/>
      <c r="S15" s="6"/>
    </row>
    <row r="16" spans="1:19" x14ac:dyDescent="0.3">
      <c r="A16" s="124"/>
      <c r="B16" s="125" t="s">
        <v>584</v>
      </c>
      <c r="C16" s="125"/>
      <c r="D16" s="151"/>
      <c r="E16" s="187" t="s">
        <v>471</v>
      </c>
      <c r="F16" s="5"/>
      <c r="G16" s="1"/>
      <c r="H16" s="1"/>
      <c r="I16" s="1"/>
      <c r="J16" s="1"/>
      <c r="K16" s="1"/>
      <c r="L16" s="1"/>
      <c r="M16" s="1"/>
      <c r="N16" s="1"/>
      <c r="O16" s="1"/>
      <c r="P16" s="1"/>
      <c r="Q16" s="1"/>
      <c r="R16" s="1"/>
      <c r="S16" s="6"/>
    </row>
    <row r="17" spans="1:19" x14ac:dyDescent="0.3">
      <c r="A17" s="124"/>
      <c r="B17" s="125" t="s">
        <v>585</v>
      </c>
      <c r="C17" s="125"/>
      <c r="D17" s="151"/>
      <c r="E17" s="187" t="s">
        <v>541</v>
      </c>
      <c r="F17" s="5"/>
      <c r="G17" s="1"/>
      <c r="H17" s="1"/>
      <c r="I17" s="1"/>
      <c r="J17" s="1"/>
      <c r="K17" s="1"/>
      <c r="L17" s="1"/>
      <c r="M17" s="1"/>
      <c r="N17" s="1"/>
      <c r="O17" s="1"/>
      <c r="P17" s="1"/>
      <c r="Q17" s="1"/>
      <c r="R17" s="1"/>
      <c r="S17" s="6"/>
    </row>
    <row r="18" spans="1:19" x14ac:dyDescent="0.3">
      <c r="A18" s="124"/>
      <c r="B18" s="125" t="s">
        <v>586</v>
      </c>
      <c r="C18" s="125"/>
      <c r="D18" s="151"/>
      <c r="E18" s="187" t="s">
        <v>581</v>
      </c>
      <c r="F18" s="5"/>
      <c r="G18" s="1"/>
      <c r="H18" s="1"/>
      <c r="I18" s="1"/>
      <c r="J18" s="1"/>
      <c r="K18" s="1"/>
      <c r="L18" s="1"/>
      <c r="M18" s="1"/>
      <c r="N18" s="1"/>
      <c r="O18" s="1"/>
      <c r="P18" s="1"/>
      <c r="Q18" s="1"/>
      <c r="R18" s="1"/>
      <c r="S18" s="6"/>
    </row>
    <row r="19" spans="1:19" x14ac:dyDescent="0.3">
      <c r="A19" s="124"/>
      <c r="B19" s="125"/>
      <c r="C19" s="125"/>
      <c r="D19" s="151"/>
      <c r="E19" s="187" t="s">
        <v>583</v>
      </c>
      <c r="F19" s="5"/>
      <c r="G19" s="1"/>
      <c r="H19" s="1"/>
      <c r="I19" s="1"/>
      <c r="J19" s="1"/>
      <c r="K19" s="1"/>
      <c r="L19" s="1"/>
      <c r="M19" s="1"/>
      <c r="N19" s="1"/>
      <c r="O19" s="1"/>
      <c r="P19" s="1"/>
      <c r="Q19" s="1"/>
      <c r="R19" s="1"/>
      <c r="S19" s="6"/>
    </row>
    <row r="20" spans="1:19" x14ac:dyDescent="0.3">
      <c r="A20" s="124" t="s">
        <v>18</v>
      </c>
      <c r="B20" s="125"/>
      <c r="C20" s="125"/>
      <c r="D20" s="151"/>
      <c r="E20" s="186" t="s">
        <v>22</v>
      </c>
      <c r="F20" s="5">
        <v>4</v>
      </c>
      <c r="G20" s="1">
        <v>4</v>
      </c>
      <c r="H20" s="1">
        <f t="shared" ref="H20" si="0">SUM(H21:H30)</f>
        <v>0</v>
      </c>
      <c r="I20" s="1">
        <v>8</v>
      </c>
      <c r="J20" s="1">
        <v>12</v>
      </c>
      <c r="K20" s="1">
        <v>12</v>
      </c>
      <c r="L20" s="1">
        <v>8</v>
      </c>
      <c r="M20" s="1">
        <v>12</v>
      </c>
      <c r="N20" s="1">
        <v>4</v>
      </c>
      <c r="O20" s="1">
        <v>8</v>
      </c>
      <c r="P20" s="1">
        <v>8</v>
      </c>
      <c r="Q20" s="1">
        <v>8</v>
      </c>
      <c r="R20" s="1"/>
      <c r="S20" s="6"/>
    </row>
    <row r="21" spans="1:19" x14ac:dyDescent="0.3">
      <c r="A21" s="124"/>
      <c r="B21" s="125" t="s">
        <v>587</v>
      </c>
      <c r="C21" s="125" t="s">
        <v>588</v>
      </c>
      <c r="D21" s="151"/>
      <c r="E21" s="187" t="s">
        <v>471</v>
      </c>
      <c r="F21" s="5"/>
      <c r="G21" s="1"/>
      <c r="H21" s="1"/>
      <c r="I21" s="1"/>
      <c r="J21" s="1"/>
      <c r="K21" s="1"/>
      <c r="L21" s="1"/>
      <c r="M21" s="1"/>
      <c r="N21" s="1"/>
      <c r="O21" s="1"/>
      <c r="P21" s="1"/>
      <c r="Q21" s="1"/>
      <c r="R21" s="1"/>
      <c r="S21" s="6"/>
    </row>
    <row r="22" spans="1:19" x14ac:dyDescent="0.3">
      <c r="A22" s="124"/>
      <c r="B22" s="125"/>
      <c r="C22" s="125" t="s">
        <v>585</v>
      </c>
      <c r="D22" s="151"/>
      <c r="E22" s="187" t="s">
        <v>541</v>
      </c>
      <c r="F22" s="5"/>
      <c r="G22" s="1"/>
      <c r="H22" s="1"/>
      <c r="I22" s="1"/>
      <c r="J22" s="1"/>
      <c r="K22" s="1"/>
      <c r="L22" s="1"/>
      <c r="M22" s="1"/>
      <c r="N22" s="1"/>
      <c r="O22" s="1"/>
      <c r="P22" s="1"/>
      <c r="Q22" s="1"/>
      <c r="R22" s="1"/>
      <c r="S22" s="6"/>
    </row>
    <row r="23" spans="1:19" x14ac:dyDescent="0.3">
      <c r="A23" s="124"/>
      <c r="B23" s="125"/>
      <c r="C23" s="125" t="s">
        <v>444</v>
      </c>
      <c r="D23" s="151"/>
      <c r="E23" s="187" t="s">
        <v>581</v>
      </c>
      <c r="F23" s="5"/>
      <c r="G23" s="1"/>
      <c r="H23" s="1"/>
      <c r="I23" s="1"/>
      <c r="J23" s="1"/>
      <c r="K23" s="1"/>
      <c r="L23" s="1"/>
      <c r="M23" s="1"/>
      <c r="N23" s="1"/>
      <c r="O23" s="1"/>
      <c r="P23" s="1"/>
      <c r="Q23" s="1"/>
      <c r="R23" s="1"/>
      <c r="S23" s="6"/>
    </row>
    <row r="24" spans="1:19" x14ac:dyDescent="0.3">
      <c r="A24" s="124"/>
      <c r="B24" s="125" t="s">
        <v>589</v>
      </c>
      <c r="C24" s="125" t="s">
        <v>588</v>
      </c>
      <c r="D24" s="151"/>
      <c r="E24" s="187" t="s">
        <v>583</v>
      </c>
      <c r="F24" s="5"/>
      <c r="G24" s="1"/>
      <c r="H24" s="1"/>
      <c r="I24" s="1"/>
      <c r="J24" s="1"/>
      <c r="K24" s="1"/>
      <c r="L24" s="1"/>
      <c r="M24" s="1"/>
      <c r="N24" s="1"/>
      <c r="O24" s="1"/>
      <c r="P24" s="1"/>
      <c r="Q24" s="1"/>
      <c r="R24" s="1"/>
      <c r="S24" s="6"/>
    </row>
    <row r="25" spans="1:19" x14ac:dyDescent="0.3">
      <c r="A25" s="124"/>
      <c r="B25" s="125"/>
      <c r="C25" s="125" t="s">
        <v>585</v>
      </c>
      <c r="D25" s="151"/>
      <c r="E25" s="186" t="s">
        <v>23</v>
      </c>
      <c r="F25" s="5"/>
      <c r="G25" s="1"/>
      <c r="H25" s="1"/>
      <c r="I25" s="1"/>
      <c r="J25" s="1"/>
      <c r="K25" s="1"/>
      <c r="L25" s="1"/>
      <c r="M25" s="1"/>
      <c r="N25" s="1"/>
      <c r="O25" s="1"/>
      <c r="P25" s="1"/>
      <c r="Q25" s="1"/>
      <c r="R25" s="1"/>
      <c r="S25" s="6"/>
    </row>
    <row r="26" spans="1:19" x14ac:dyDescent="0.3">
      <c r="A26" s="124"/>
      <c r="B26" s="125"/>
      <c r="C26" s="125" t="s">
        <v>444</v>
      </c>
      <c r="D26" s="151"/>
      <c r="E26" s="186" t="s">
        <v>24</v>
      </c>
      <c r="F26" s="5"/>
      <c r="G26" s="1"/>
      <c r="H26" s="1"/>
      <c r="I26" s="1"/>
      <c r="J26" s="1"/>
      <c r="K26" s="1"/>
      <c r="L26" s="1"/>
      <c r="M26" s="1"/>
      <c r="N26" s="1"/>
      <c r="O26" s="1"/>
      <c r="P26" s="1"/>
      <c r="Q26" s="1"/>
      <c r="R26" s="1"/>
      <c r="S26" s="6"/>
    </row>
    <row r="27" spans="1:19" x14ac:dyDescent="0.3">
      <c r="A27" s="124"/>
      <c r="B27" s="125" t="s">
        <v>590</v>
      </c>
      <c r="C27" s="125" t="s">
        <v>588</v>
      </c>
      <c r="D27" s="151"/>
      <c r="E27" s="187" t="s">
        <v>471</v>
      </c>
      <c r="F27" s="5"/>
      <c r="G27" s="1"/>
      <c r="H27" s="1"/>
      <c r="I27" s="1"/>
      <c r="J27" s="1"/>
      <c r="K27" s="1"/>
      <c r="L27" s="1"/>
      <c r="M27" s="1"/>
      <c r="N27" s="1"/>
      <c r="O27" s="1"/>
      <c r="P27" s="1"/>
      <c r="Q27" s="1"/>
      <c r="R27" s="1"/>
      <c r="S27" s="6"/>
    </row>
    <row r="28" spans="1:19" x14ac:dyDescent="0.3">
      <c r="A28" s="124"/>
      <c r="B28" s="125"/>
      <c r="C28" s="125" t="s">
        <v>585</v>
      </c>
      <c r="D28" s="151"/>
      <c r="E28" s="187" t="s">
        <v>541</v>
      </c>
      <c r="F28" s="5"/>
      <c r="G28" s="1"/>
      <c r="H28" s="1"/>
      <c r="I28" s="1"/>
      <c r="J28" s="1"/>
      <c r="K28" s="1"/>
      <c r="L28" s="1"/>
      <c r="M28" s="1"/>
      <c r="N28" s="1"/>
      <c r="O28" s="1"/>
      <c r="P28" s="1"/>
      <c r="Q28" s="1"/>
      <c r="R28" s="1"/>
      <c r="S28" s="6"/>
    </row>
    <row r="29" spans="1:19" x14ac:dyDescent="0.3">
      <c r="A29" s="124"/>
      <c r="B29" s="125"/>
      <c r="C29" s="125" t="s">
        <v>444</v>
      </c>
      <c r="D29" s="151"/>
      <c r="E29" s="187" t="s">
        <v>581</v>
      </c>
      <c r="F29" s="5"/>
      <c r="G29" s="1"/>
      <c r="H29" s="1"/>
      <c r="I29" s="1"/>
      <c r="J29" s="1"/>
      <c r="K29" s="1"/>
      <c r="L29" s="1"/>
      <c r="M29" s="1"/>
      <c r="N29" s="1"/>
      <c r="O29" s="1"/>
      <c r="P29" s="1"/>
      <c r="Q29" s="1"/>
      <c r="R29" s="1"/>
      <c r="S29" s="6"/>
    </row>
    <row r="30" spans="1:19" x14ac:dyDescent="0.3">
      <c r="A30" s="124"/>
      <c r="B30" s="125" t="s">
        <v>591</v>
      </c>
      <c r="C30" s="125" t="s">
        <v>588</v>
      </c>
      <c r="D30" s="151"/>
      <c r="E30" s="187" t="s">
        <v>583</v>
      </c>
      <c r="F30" s="5"/>
      <c r="G30" s="1"/>
      <c r="H30" s="1"/>
      <c r="I30" s="1"/>
      <c r="J30" s="1"/>
      <c r="K30" s="1"/>
      <c r="L30" s="1"/>
      <c r="M30" s="1"/>
      <c r="N30" s="1"/>
      <c r="O30" s="1"/>
      <c r="P30" s="1"/>
      <c r="Q30" s="1"/>
      <c r="R30" s="1"/>
      <c r="S30" s="6"/>
    </row>
    <row r="31" spans="1:19" x14ac:dyDescent="0.3">
      <c r="A31" s="124"/>
      <c r="B31" s="125"/>
      <c r="C31" s="125" t="s">
        <v>585</v>
      </c>
      <c r="D31" s="151"/>
      <c r="E31" s="186" t="s">
        <v>25</v>
      </c>
      <c r="F31" s="5"/>
      <c r="G31" s="1"/>
      <c r="H31" s="1"/>
      <c r="I31" s="1"/>
      <c r="J31" s="1"/>
      <c r="K31" s="1"/>
      <c r="L31" s="1"/>
      <c r="M31" s="1"/>
      <c r="N31" s="1"/>
      <c r="O31" s="1"/>
      <c r="P31" s="1"/>
      <c r="Q31" s="1"/>
      <c r="R31" s="1"/>
      <c r="S31" s="6"/>
    </row>
    <row r="32" spans="1:19" x14ac:dyDescent="0.3">
      <c r="A32" s="124"/>
      <c r="B32" s="125"/>
      <c r="C32" s="125" t="s">
        <v>444</v>
      </c>
      <c r="D32" s="151"/>
      <c r="E32" s="187" t="s">
        <v>471</v>
      </c>
      <c r="F32" s="5"/>
      <c r="G32" s="1"/>
      <c r="H32" s="1"/>
      <c r="I32" s="1"/>
      <c r="J32" s="1"/>
      <c r="K32" s="1"/>
      <c r="L32" s="1"/>
      <c r="M32" s="1"/>
      <c r="N32" s="1"/>
      <c r="O32" s="1"/>
      <c r="P32" s="1"/>
      <c r="Q32" s="1"/>
      <c r="R32" s="1"/>
      <c r="S32" s="6"/>
    </row>
    <row r="33" spans="1:19" x14ac:dyDescent="0.3">
      <c r="A33" s="124" t="s">
        <v>556</v>
      </c>
      <c r="B33" s="125"/>
      <c r="C33" s="125"/>
      <c r="D33" s="151"/>
      <c r="E33" s="187" t="s">
        <v>541</v>
      </c>
      <c r="F33" s="5">
        <v>2</v>
      </c>
      <c r="G33" s="1">
        <v>2</v>
      </c>
      <c r="H33" s="1">
        <v>2</v>
      </c>
      <c r="I33" s="1">
        <v>3</v>
      </c>
      <c r="J33" s="1">
        <v>5</v>
      </c>
      <c r="K33" s="1">
        <v>5</v>
      </c>
      <c r="L33" s="1">
        <v>2</v>
      </c>
      <c r="M33" s="1">
        <v>3</v>
      </c>
      <c r="N33" s="1">
        <v>2</v>
      </c>
      <c r="O33" s="1">
        <v>3</v>
      </c>
      <c r="P33" s="1">
        <v>3</v>
      </c>
      <c r="Q33" s="1">
        <v>4</v>
      </c>
      <c r="R33" s="1"/>
      <c r="S33" s="6"/>
    </row>
    <row r="34" spans="1:19" x14ac:dyDescent="0.3">
      <c r="A34" s="124"/>
      <c r="B34" s="125" t="s">
        <v>20</v>
      </c>
      <c r="C34" s="125"/>
      <c r="D34" s="151"/>
      <c r="E34" s="187" t="s">
        <v>581</v>
      </c>
      <c r="F34" s="5"/>
      <c r="G34" s="1"/>
      <c r="H34" s="1"/>
      <c r="I34" s="1"/>
      <c r="J34" s="1"/>
      <c r="K34" s="1"/>
      <c r="L34" s="1"/>
      <c r="M34" s="1"/>
      <c r="N34" s="1"/>
      <c r="O34" s="1"/>
      <c r="P34" s="1"/>
      <c r="Q34" s="1"/>
      <c r="R34" s="1"/>
      <c r="S34" s="6"/>
    </row>
    <row r="35" spans="1:19" x14ac:dyDescent="0.3">
      <c r="A35" s="124"/>
      <c r="B35" s="125"/>
      <c r="C35" s="125" t="s">
        <v>592</v>
      </c>
      <c r="D35" s="151"/>
      <c r="E35" s="187" t="s">
        <v>583</v>
      </c>
      <c r="F35" s="5"/>
      <c r="G35" s="1"/>
      <c r="H35" s="1"/>
      <c r="I35" s="1"/>
      <c r="J35" s="1"/>
      <c r="K35" s="1"/>
      <c r="L35" s="1"/>
      <c r="M35" s="1"/>
      <c r="N35" s="1"/>
      <c r="O35" s="1"/>
      <c r="P35" s="1"/>
      <c r="Q35" s="1"/>
      <c r="R35" s="1"/>
      <c r="S35" s="6"/>
    </row>
    <row r="36" spans="1:19" x14ac:dyDescent="0.3">
      <c r="A36" s="124"/>
      <c r="B36" s="125"/>
      <c r="C36" s="125" t="s">
        <v>593</v>
      </c>
      <c r="D36" s="151"/>
      <c r="E36" s="186" t="s">
        <v>26</v>
      </c>
      <c r="F36" s="5"/>
      <c r="G36" s="1"/>
      <c r="H36" s="1"/>
      <c r="I36" s="1"/>
      <c r="J36" s="1"/>
      <c r="K36" s="1"/>
      <c r="L36" s="1"/>
      <c r="M36" s="1"/>
      <c r="N36" s="1"/>
      <c r="O36" s="1"/>
      <c r="P36" s="1"/>
      <c r="Q36" s="1"/>
      <c r="R36" s="1"/>
      <c r="S36" s="6"/>
    </row>
    <row r="37" spans="1:19" x14ac:dyDescent="0.3">
      <c r="A37" s="124"/>
      <c r="B37" s="125"/>
      <c r="C37" s="125" t="s">
        <v>444</v>
      </c>
      <c r="D37" s="151"/>
      <c r="E37" s="187" t="s">
        <v>471</v>
      </c>
      <c r="F37" s="5"/>
      <c r="G37" s="1"/>
      <c r="H37" s="1"/>
      <c r="I37" s="1"/>
      <c r="J37" s="1"/>
      <c r="K37" s="1"/>
      <c r="L37" s="1"/>
      <c r="M37" s="1"/>
      <c r="N37" s="1"/>
      <c r="O37" s="1"/>
      <c r="P37" s="1"/>
      <c r="Q37" s="1"/>
      <c r="R37" s="1"/>
      <c r="S37" s="6"/>
    </row>
    <row r="38" spans="1:19" x14ac:dyDescent="0.3">
      <c r="A38" s="124"/>
      <c r="B38" s="125"/>
      <c r="C38" s="125" t="s">
        <v>540</v>
      </c>
      <c r="D38" s="151"/>
      <c r="E38" s="187" t="s">
        <v>541</v>
      </c>
      <c r="F38" s="5"/>
      <c r="G38" s="1"/>
      <c r="H38" s="1"/>
      <c r="I38" s="1"/>
      <c r="J38" s="1"/>
      <c r="K38" s="1"/>
      <c r="L38" s="1"/>
      <c r="M38" s="1"/>
      <c r="N38" s="1"/>
      <c r="O38" s="1"/>
      <c r="P38" s="1"/>
      <c r="Q38" s="1"/>
      <c r="R38" s="1"/>
      <c r="S38" s="6"/>
    </row>
    <row r="39" spans="1:19" x14ac:dyDescent="0.3">
      <c r="A39" s="124"/>
      <c r="B39" s="125"/>
      <c r="C39" s="125"/>
      <c r="D39" s="151" t="s">
        <v>478</v>
      </c>
      <c r="E39" s="187" t="s">
        <v>581</v>
      </c>
      <c r="F39" s="5"/>
      <c r="G39" s="1"/>
      <c r="H39" s="1"/>
      <c r="I39" s="1"/>
      <c r="J39" s="1"/>
      <c r="K39" s="1"/>
      <c r="L39" s="1"/>
      <c r="M39" s="1"/>
      <c r="N39" s="1"/>
      <c r="O39" s="1"/>
      <c r="P39" s="1"/>
      <c r="Q39" s="1"/>
      <c r="R39" s="1"/>
      <c r="S39" s="6"/>
    </row>
    <row r="40" spans="1:19" x14ac:dyDescent="0.3">
      <c r="A40" s="124"/>
      <c r="B40" s="125"/>
      <c r="C40" s="125"/>
      <c r="D40" s="151" t="s">
        <v>594</v>
      </c>
      <c r="E40" s="187" t="s">
        <v>583</v>
      </c>
      <c r="F40" s="5"/>
      <c r="G40" s="1"/>
      <c r="H40" s="1"/>
      <c r="I40" s="1"/>
      <c r="J40" s="1"/>
      <c r="K40" s="1"/>
      <c r="L40" s="1"/>
      <c r="M40" s="1"/>
      <c r="N40" s="1"/>
      <c r="O40" s="1"/>
      <c r="P40" s="1"/>
      <c r="Q40" s="1"/>
      <c r="R40" s="1"/>
      <c r="S40" s="6"/>
    </row>
    <row r="41" spans="1:19" x14ac:dyDescent="0.3">
      <c r="A41" s="124"/>
      <c r="B41" s="125"/>
      <c r="C41" s="125" t="s">
        <v>595</v>
      </c>
      <c r="D41" s="151"/>
      <c r="E41" s="186" t="s">
        <v>27</v>
      </c>
      <c r="F41" s="5">
        <v>2</v>
      </c>
      <c r="G41" s="1">
        <v>2</v>
      </c>
      <c r="H41" s="1">
        <v>2</v>
      </c>
      <c r="I41" s="1">
        <v>3</v>
      </c>
      <c r="J41" s="1">
        <v>5</v>
      </c>
      <c r="K41" s="1">
        <v>5</v>
      </c>
      <c r="L41" s="1">
        <v>2</v>
      </c>
      <c r="M41" s="1">
        <v>3</v>
      </c>
      <c r="N41" s="1">
        <v>2</v>
      </c>
      <c r="O41" s="1">
        <v>3</v>
      </c>
      <c r="P41" s="1">
        <v>3</v>
      </c>
      <c r="Q41" s="1">
        <v>4</v>
      </c>
      <c r="R41" s="1"/>
      <c r="S41" s="6"/>
    </row>
    <row r="42" spans="1:19" x14ac:dyDescent="0.3">
      <c r="A42" s="124"/>
      <c r="B42" s="125"/>
      <c r="C42" s="125"/>
      <c r="D42" s="151" t="s">
        <v>596</v>
      </c>
      <c r="E42" s="187" t="s">
        <v>471</v>
      </c>
      <c r="F42" s="5"/>
      <c r="G42" s="1"/>
      <c r="H42" s="1"/>
      <c r="I42" s="1"/>
      <c r="J42" s="1"/>
      <c r="K42" s="1"/>
      <c r="L42" s="1"/>
      <c r="M42" s="1"/>
      <c r="N42" s="1"/>
      <c r="O42" s="1"/>
      <c r="P42" s="1"/>
      <c r="Q42" s="1"/>
      <c r="R42" s="1"/>
      <c r="S42" s="6"/>
    </row>
    <row r="43" spans="1:19" x14ac:dyDescent="0.3">
      <c r="A43" s="124"/>
      <c r="B43" s="125"/>
      <c r="C43" s="125"/>
      <c r="D43" s="151" t="s">
        <v>597</v>
      </c>
      <c r="E43" s="187" t="s">
        <v>541</v>
      </c>
      <c r="F43" s="5"/>
      <c r="G43" s="1"/>
      <c r="H43" s="1"/>
      <c r="I43" s="1"/>
      <c r="J43" s="1"/>
      <c r="K43" s="1"/>
      <c r="L43" s="1"/>
      <c r="M43" s="1"/>
      <c r="N43" s="1"/>
      <c r="O43" s="1"/>
      <c r="P43" s="1"/>
      <c r="Q43" s="1"/>
      <c r="R43" s="1"/>
      <c r="S43" s="6"/>
    </row>
    <row r="44" spans="1:19" x14ac:dyDescent="0.3">
      <c r="A44" s="124"/>
      <c r="B44" s="125"/>
      <c r="C44" s="125"/>
      <c r="D44" s="151" t="s">
        <v>598</v>
      </c>
      <c r="E44" s="187" t="s">
        <v>581</v>
      </c>
      <c r="F44" s="5"/>
      <c r="G44" s="1"/>
      <c r="H44" s="1"/>
      <c r="I44" s="1"/>
      <c r="J44" s="1"/>
      <c r="K44" s="1"/>
      <c r="L44" s="1"/>
      <c r="M44" s="1"/>
      <c r="N44" s="1"/>
      <c r="O44" s="1"/>
      <c r="P44" s="1"/>
      <c r="Q44" s="1"/>
      <c r="R44" s="1"/>
      <c r="S44" s="6"/>
    </row>
    <row r="45" spans="1:19" x14ac:dyDescent="0.3">
      <c r="A45" s="124"/>
      <c r="B45" s="125"/>
      <c r="C45" s="125"/>
      <c r="D45" s="151" t="s">
        <v>599</v>
      </c>
      <c r="E45" s="187" t="s">
        <v>583</v>
      </c>
      <c r="F45" s="5"/>
      <c r="G45" s="1"/>
      <c r="H45" s="1"/>
      <c r="I45" s="1"/>
      <c r="J45" s="1"/>
      <c r="K45" s="1"/>
      <c r="L45" s="1"/>
      <c r="M45" s="1"/>
      <c r="N45" s="1"/>
      <c r="O45" s="1"/>
      <c r="P45" s="1"/>
      <c r="Q45" s="1"/>
      <c r="R45" s="1"/>
      <c r="S45" s="6"/>
    </row>
    <row r="46" spans="1:19" x14ac:dyDescent="0.3">
      <c r="A46" s="124"/>
      <c r="B46" s="125"/>
      <c r="C46" s="125"/>
      <c r="D46" s="151" t="s">
        <v>600</v>
      </c>
      <c r="E46" s="186" t="s">
        <v>28</v>
      </c>
      <c r="F46" s="5"/>
      <c r="G46" s="1"/>
      <c r="H46" s="1"/>
      <c r="I46" s="1"/>
      <c r="J46" s="1"/>
      <c r="K46" s="1"/>
      <c r="L46" s="1"/>
      <c r="M46" s="1"/>
      <c r="N46" s="1"/>
      <c r="O46" s="1"/>
      <c r="P46" s="1"/>
      <c r="Q46" s="1"/>
      <c r="R46" s="1"/>
      <c r="S46" s="6"/>
    </row>
    <row r="47" spans="1:19" x14ac:dyDescent="0.3">
      <c r="A47" s="124"/>
      <c r="B47" s="125"/>
      <c r="C47" s="125"/>
      <c r="D47" s="151" t="s">
        <v>601</v>
      </c>
      <c r="E47" s="187" t="s">
        <v>471</v>
      </c>
      <c r="F47" s="5"/>
      <c r="G47" s="1"/>
      <c r="H47" s="1"/>
      <c r="I47" s="1"/>
      <c r="J47" s="1"/>
      <c r="K47" s="1"/>
      <c r="L47" s="1"/>
      <c r="M47" s="1"/>
      <c r="N47" s="1"/>
      <c r="O47" s="1"/>
      <c r="P47" s="1"/>
      <c r="Q47" s="1"/>
      <c r="R47" s="1"/>
      <c r="S47" s="6"/>
    </row>
    <row r="48" spans="1:19" x14ac:dyDescent="0.3">
      <c r="A48" s="124"/>
      <c r="B48" s="125"/>
      <c r="C48" s="125" t="s">
        <v>602</v>
      </c>
      <c r="D48" s="151"/>
      <c r="E48" s="187" t="s">
        <v>541</v>
      </c>
      <c r="F48" s="5">
        <v>1</v>
      </c>
      <c r="G48" s="1">
        <v>1</v>
      </c>
      <c r="H48" s="1">
        <v>1</v>
      </c>
      <c r="I48" s="1">
        <v>1</v>
      </c>
      <c r="J48" s="1">
        <v>2</v>
      </c>
      <c r="K48" s="1">
        <v>2</v>
      </c>
      <c r="L48" s="1">
        <v>1</v>
      </c>
      <c r="M48" s="1">
        <v>2</v>
      </c>
      <c r="N48" s="1">
        <v>1</v>
      </c>
      <c r="O48" s="1">
        <v>2</v>
      </c>
      <c r="P48" s="1">
        <v>1</v>
      </c>
      <c r="Q48" s="1">
        <v>1</v>
      </c>
      <c r="R48" s="1"/>
      <c r="S48" s="6"/>
    </row>
    <row r="49" spans="1:19" x14ac:dyDescent="0.3">
      <c r="A49" s="124"/>
      <c r="B49" s="125"/>
      <c r="C49" s="125"/>
      <c r="D49" s="151"/>
      <c r="E49" s="187" t="s">
        <v>581</v>
      </c>
      <c r="F49" s="5"/>
      <c r="G49" s="1"/>
      <c r="H49" s="1"/>
      <c r="I49" s="1"/>
      <c r="J49" s="1"/>
      <c r="K49" s="1"/>
      <c r="L49" s="1"/>
      <c r="M49" s="1"/>
      <c r="N49" s="1"/>
      <c r="O49" s="1"/>
      <c r="P49" s="1"/>
      <c r="Q49" s="1"/>
      <c r="R49" s="1"/>
      <c r="S49" s="6"/>
    </row>
    <row r="50" spans="1:19" x14ac:dyDescent="0.3">
      <c r="A50" s="124"/>
      <c r="B50" s="125" t="s">
        <v>21</v>
      </c>
      <c r="C50" s="125"/>
      <c r="D50" s="151"/>
      <c r="E50" s="187" t="s">
        <v>583</v>
      </c>
      <c r="F50" s="5">
        <v>2</v>
      </c>
      <c r="G50" s="1">
        <v>2</v>
      </c>
      <c r="H50" s="1">
        <v>2</v>
      </c>
      <c r="I50" s="1">
        <v>3</v>
      </c>
      <c r="J50" s="1">
        <v>5</v>
      </c>
      <c r="K50" s="1">
        <v>5</v>
      </c>
      <c r="L50" s="1">
        <v>2</v>
      </c>
      <c r="M50" s="1">
        <v>3</v>
      </c>
      <c r="N50" s="1">
        <v>2</v>
      </c>
      <c r="O50" s="1">
        <v>3</v>
      </c>
      <c r="P50" s="1">
        <v>3</v>
      </c>
      <c r="Q50" s="1">
        <v>4</v>
      </c>
      <c r="R50" s="1"/>
      <c r="S50" s="6"/>
    </row>
    <row r="51" spans="1:19" x14ac:dyDescent="0.3">
      <c r="A51" s="124"/>
      <c r="B51" s="125"/>
      <c r="C51" s="125" t="s">
        <v>540</v>
      </c>
      <c r="D51" s="151"/>
      <c r="E51" s="186" t="s">
        <v>29</v>
      </c>
      <c r="F51" s="146"/>
      <c r="G51" s="1"/>
      <c r="H51" s="1"/>
      <c r="I51" s="1"/>
      <c r="J51" s="1"/>
      <c r="K51" s="1"/>
      <c r="L51" s="1"/>
      <c r="M51" s="1"/>
      <c r="N51" s="1"/>
      <c r="O51" s="1"/>
      <c r="P51" s="1"/>
      <c r="Q51" s="1"/>
      <c r="R51" s="1"/>
      <c r="S51" s="6"/>
    </row>
    <row r="52" spans="1:19" x14ac:dyDescent="0.3">
      <c r="A52" s="124"/>
      <c r="B52" s="125"/>
      <c r="C52" s="125" t="s">
        <v>603</v>
      </c>
      <c r="D52" s="151"/>
      <c r="E52" s="187" t="s">
        <v>471</v>
      </c>
      <c r="F52" s="5"/>
      <c r="G52" s="1"/>
      <c r="H52" s="1"/>
      <c r="I52" s="1"/>
      <c r="J52" s="1"/>
      <c r="K52" s="1"/>
      <c r="L52" s="1"/>
      <c r="M52" s="1"/>
      <c r="N52" s="1"/>
      <c r="O52" s="1"/>
      <c r="P52" s="1"/>
      <c r="Q52" s="1"/>
      <c r="R52" s="1"/>
      <c r="S52" s="6"/>
    </row>
    <row r="53" spans="1:19" x14ac:dyDescent="0.3">
      <c r="A53" s="124"/>
      <c r="B53" s="125"/>
      <c r="C53" s="125" t="s">
        <v>444</v>
      </c>
      <c r="D53" s="151"/>
      <c r="E53" s="187" t="s">
        <v>541</v>
      </c>
      <c r="F53" s="5"/>
      <c r="G53" s="1"/>
      <c r="H53" s="1"/>
      <c r="I53" s="1"/>
      <c r="J53" s="1"/>
      <c r="K53" s="1"/>
      <c r="L53" s="1"/>
      <c r="M53" s="1"/>
      <c r="N53" s="1"/>
      <c r="O53" s="1"/>
      <c r="P53" s="1"/>
      <c r="Q53" s="1"/>
      <c r="R53" s="1"/>
      <c r="S53" s="6"/>
    </row>
    <row r="54" spans="1:19" x14ac:dyDescent="0.3">
      <c r="A54" s="124"/>
      <c r="B54" s="125"/>
      <c r="C54" s="125" t="s">
        <v>604</v>
      </c>
      <c r="D54" s="151"/>
      <c r="E54" s="187" t="s">
        <v>581</v>
      </c>
      <c r="F54" s="5"/>
      <c r="G54" s="1"/>
      <c r="H54" s="1"/>
      <c r="I54" s="1"/>
      <c r="J54" s="1"/>
      <c r="K54" s="1"/>
      <c r="L54" s="1"/>
      <c r="M54" s="1"/>
      <c r="N54" s="1"/>
      <c r="O54" s="1"/>
      <c r="P54" s="1"/>
      <c r="Q54" s="1"/>
      <c r="R54" s="1"/>
      <c r="S54" s="6"/>
    </row>
    <row r="55" spans="1:19" x14ac:dyDescent="0.3">
      <c r="A55" s="124"/>
      <c r="B55" s="125"/>
      <c r="C55" s="125" t="s">
        <v>605</v>
      </c>
      <c r="D55" s="151"/>
      <c r="E55" s="187" t="s">
        <v>583</v>
      </c>
      <c r="F55" s="5"/>
      <c r="G55" s="1"/>
      <c r="H55" s="1"/>
      <c r="I55" s="1"/>
      <c r="J55" s="1"/>
      <c r="K55" s="1"/>
      <c r="L55" s="1"/>
      <c r="M55" s="1"/>
      <c r="N55" s="1"/>
      <c r="O55" s="1"/>
      <c r="P55" s="1"/>
      <c r="Q55" s="1"/>
      <c r="R55" s="1"/>
      <c r="S55" s="6"/>
    </row>
    <row r="56" spans="1:19" x14ac:dyDescent="0.3">
      <c r="A56" s="124"/>
      <c r="B56" s="125" t="s">
        <v>22</v>
      </c>
      <c r="C56" s="125"/>
      <c r="D56" s="151"/>
      <c r="E56" s="186" t="s">
        <v>30</v>
      </c>
      <c r="F56" s="5">
        <v>1</v>
      </c>
      <c r="G56" s="1">
        <v>1</v>
      </c>
      <c r="H56" s="1">
        <v>1</v>
      </c>
      <c r="I56" s="1">
        <v>2</v>
      </c>
      <c r="J56" s="1">
        <v>3</v>
      </c>
      <c r="K56" s="1">
        <v>3</v>
      </c>
      <c r="L56" s="1">
        <v>2</v>
      </c>
      <c r="M56" s="1">
        <v>3</v>
      </c>
      <c r="N56" s="1">
        <v>1</v>
      </c>
      <c r="O56" s="1">
        <v>2</v>
      </c>
      <c r="P56" s="1">
        <v>2</v>
      </c>
      <c r="Q56" s="1">
        <v>2</v>
      </c>
      <c r="R56" s="1"/>
      <c r="S56" s="6"/>
    </row>
    <row r="57" spans="1:19" x14ac:dyDescent="0.3">
      <c r="A57" s="124"/>
      <c r="B57" s="125"/>
      <c r="C57" s="125" t="s">
        <v>606</v>
      </c>
      <c r="D57" s="151"/>
      <c r="E57" s="187" t="s">
        <v>471</v>
      </c>
      <c r="F57" s="5"/>
      <c r="G57" s="1"/>
      <c r="H57" s="1"/>
      <c r="I57" s="1"/>
      <c r="J57" s="1"/>
      <c r="K57" s="1"/>
      <c r="L57" s="1"/>
      <c r="M57" s="1"/>
      <c r="N57" s="1"/>
      <c r="O57" s="1"/>
      <c r="P57" s="1"/>
      <c r="Q57" s="1"/>
      <c r="R57" s="1"/>
      <c r="S57" s="6"/>
    </row>
    <row r="58" spans="1:19" x14ac:dyDescent="0.3">
      <c r="A58" s="124"/>
      <c r="B58" s="125"/>
      <c r="C58" s="125" t="s">
        <v>607</v>
      </c>
      <c r="D58" s="151"/>
      <c r="E58" s="187" t="s">
        <v>541</v>
      </c>
      <c r="F58" s="5"/>
      <c r="G58" s="1"/>
      <c r="H58" s="1"/>
      <c r="I58" s="1"/>
      <c r="J58" s="1"/>
      <c r="K58" s="1"/>
      <c r="L58" s="1"/>
      <c r="M58" s="1"/>
      <c r="N58" s="1"/>
      <c r="O58" s="1"/>
      <c r="P58" s="1"/>
      <c r="Q58" s="1"/>
      <c r="R58" s="1"/>
      <c r="S58" s="6"/>
    </row>
    <row r="59" spans="1:19" x14ac:dyDescent="0.3">
      <c r="A59" s="124"/>
      <c r="B59" s="125"/>
      <c r="C59" s="125" t="s">
        <v>608</v>
      </c>
      <c r="D59" s="151"/>
      <c r="E59" s="187" t="s">
        <v>581</v>
      </c>
      <c r="F59" s="5"/>
      <c r="G59" s="1"/>
      <c r="H59" s="1"/>
      <c r="I59" s="1"/>
      <c r="J59" s="1"/>
      <c r="K59" s="1"/>
      <c r="L59" s="1"/>
      <c r="M59" s="1"/>
      <c r="N59" s="1"/>
      <c r="O59" s="1"/>
      <c r="P59" s="1"/>
      <c r="Q59" s="1"/>
      <c r="R59" s="1"/>
      <c r="S59" s="6"/>
    </row>
    <row r="60" spans="1:19" x14ac:dyDescent="0.3">
      <c r="A60" s="124"/>
      <c r="B60" s="125" t="s">
        <v>23</v>
      </c>
      <c r="C60" s="125"/>
      <c r="D60" s="151"/>
      <c r="E60" s="187" t="s">
        <v>583</v>
      </c>
      <c r="F60" s="5">
        <v>1</v>
      </c>
      <c r="G60" s="1">
        <v>1</v>
      </c>
      <c r="H60" s="1">
        <v>1</v>
      </c>
      <c r="I60" s="1">
        <v>2</v>
      </c>
      <c r="J60" s="1">
        <v>3</v>
      </c>
      <c r="K60" s="1">
        <v>3</v>
      </c>
      <c r="L60" s="1">
        <v>2</v>
      </c>
      <c r="M60" s="1">
        <v>3</v>
      </c>
      <c r="N60" s="1">
        <v>1</v>
      </c>
      <c r="O60" s="1">
        <v>2</v>
      </c>
      <c r="P60" s="1">
        <v>2</v>
      </c>
      <c r="Q60" s="1">
        <v>2</v>
      </c>
      <c r="R60" s="1"/>
      <c r="S60" s="6"/>
    </row>
    <row r="61" spans="1:19" x14ac:dyDescent="0.3">
      <c r="A61" s="124"/>
      <c r="B61" s="125"/>
      <c r="C61" s="125" t="s">
        <v>609</v>
      </c>
      <c r="D61" s="151"/>
      <c r="E61" s="181" t="s">
        <v>529</v>
      </c>
      <c r="F61" s="5"/>
      <c r="G61" s="1"/>
      <c r="H61" s="1"/>
      <c r="I61" s="1"/>
      <c r="J61" s="1"/>
      <c r="K61" s="1"/>
      <c r="L61" s="1"/>
      <c r="M61" s="1"/>
      <c r="N61" s="1"/>
      <c r="O61" s="1"/>
      <c r="P61" s="1"/>
      <c r="Q61" s="1"/>
      <c r="R61" s="1"/>
      <c r="S61" s="6"/>
    </row>
    <row r="62" spans="1:19" x14ac:dyDescent="0.3">
      <c r="A62" s="124"/>
      <c r="B62" s="125"/>
      <c r="C62" s="125" t="s">
        <v>610</v>
      </c>
      <c r="D62" s="151"/>
      <c r="E62" s="181" t="s">
        <v>611</v>
      </c>
      <c r="F62" s="5"/>
      <c r="G62" s="1"/>
      <c r="H62" s="1"/>
      <c r="I62" s="1"/>
      <c r="J62" s="1"/>
      <c r="K62" s="1"/>
      <c r="L62" s="1"/>
      <c r="M62" s="1"/>
      <c r="N62" s="1"/>
      <c r="O62" s="1"/>
      <c r="P62" s="1"/>
      <c r="Q62" s="1"/>
      <c r="R62" s="1"/>
      <c r="S62" s="6"/>
    </row>
    <row r="63" spans="1:19" x14ac:dyDescent="0.3">
      <c r="A63" s="124"/>
      <c r="B63" s="125"/>
      <c r="C63" s="125" t="s">
        <v>612</v>
      </c>
      <c r="D63" s="151"/>
      <c r="E63" s="181" t="s">
        <v>613</v>
      </c>
      <c r="F63" s="5"/>
      <c r="G63" s="1"/>
      <c r="H63" s="1"/>
      <c r="I63" s="1"/>
      <c r="J63" s="1"/>
      <c r="K63" s="1"/>
      <c r="L63" s="1"/>
      <c r="M63" s="1"/>
      <c r="N63" s="1"/>
      <c r="O63" s="1"/>
      <c r="P63" s="1"/>
      <c r="Q63" s="1"/>
      <c r="R63" s="1"/>
      <c r="S63" s="6"/>
    </row>
    <row r="64" spans="1:19" x14ac:dyDescent="0.3">
      <c r="A64" s="124"/>
      <c r="B64" s="125" t="s">
        <v>24</v>
      </c>
      <c r="C64" s="125"/>
      <c r="D64" s="151"/>
      <c r="E64" s="181" t="s">
        <v>478</v>
      </c>
      <c r="F64" s="5">
        <v>1</v>
      </c>
      <c r="G64" s="1">
        <v>1</v>
      </c>
      <c r="H64" s="1">
        <v>1</v>
      </c>
      <c r="I64" s="1">
        <v>2</v>
      </c>
      <c r="J64" s="1">
        <v>3</v>
      </c>
      <c r="K64" s="1">
        <v>3</v>
      </c>
      <c r="L64" s="1">
        <v>2</v>
      </c>
      <c r="M64" s="1">
        <v>3</v>
      </c>
      <c r="N64" s="1">
        <v>1</v>
      </c>
      <c r="O64" s="1">
        <v>2</v>
      </c>
      <c r="P64" s="1">
        <v>2</v>
      </c>
      <c r="Q64" s="1">
        <v>2</v>
      </c>
      <c r="R64" s="1"/>
      <c r="S64" s="6"/>
    </row>
    <row r="65" spans="1:19" x14ac:dyDescent="0.3">
      <c r="A65" s="124"/>
      <c r="B65" s="125"/>
      <c r="C65" s="125" t="s">
        <v>606</v>
      </c>
      <c r="D65" s="151"/>
      <c r="E65" s="181" t="s">
        <v>594</v>
      </c>
      <c r="F65" s="5"/>
      <c r="G65" s="1"/>
      <c r="H65" s="1"/>
      <c r="I65" s="1"/>
      <c r="J65" s="1"/>
      <c r="K65" s="1"/>
      <c r="L65" s="1"/>
      <c r="M65" s="1"/>
      <c r="N65" s="1"/>
      <c r="O65" s="1"/>
      <c r="P65" s="1"/>
      <c r="Q65" s="1"/>
      <c r="R65" s="1"/>
      <c r="S65" s="6"/>
    </row>
    <row r="66" spans="1:19" x14ac:dyDescent="0.3">
      <c r="A66" s="124"/>
      <c r="B66" s="125"/>
      <c r="C66" s="125" t="s">
        <v>614</v>
      </c>
      <c r="D66" s="151"/>
      <c r="E66" s="181" t="s">
        <v>596</v>
      </c>
      <c r="F66" s="5"/>
      <c r="G66" s="1"/>
      <c r="H66" s="1"/>
      <c r="I66" s="1"/>
      <c r="J66" s="1"/>
      <c r="K66" s="1"/>
      <c r="L66" s="1"/>
      <c r="M66" s="1"/>
      <c r="N66" s="1"/>
      <c r="O66" s="1"/>
      <c r="P66" s="1"/>
      <c r="Q66" s="1"/>
      <c r="R66" s="1"/>
      <c r="S66" s="6"/>
    </row>
    <row r="67" spans="1:19" x14ac:dyDescent="0.3">
      <c r="A67" s="124"/>
      <c r="B67" s="125"/>
      <c r="C67" s="125"/>
      <c r="D67" s="151"/>
      <c r="E67" s="181" t="s">
        <v>597</v>
      </c>
      <c r="F67" s="5"/>
      <c r="G67" s="1"/>
      <c r="H67" s="1"/>
      <c r="I67" s="1"/>
      <c r="J67" s="1"/>
      <c r="K67" s="1"/>
      <c r="L67" s="1"/>
      <c r="M67" s="1"/>
      <c r="N67" s="1"/>
      <c r="O67" s="1"/>
      <c r="P67" s="1"/>
      <c r="Q67" s="1"/>
      <c r="R67" s="1"/>
      <c r="S67" s="6"/>
    </row>
    <row r="68" spans="1:19" x14ac:dyDescent="0.3">
      <c r="A68" s="124"/>
      <c r="B68" s="125"/>
      <c r="C68" s="125"/>
      <c r="D68" s="151"/>
      <c r="E68" s="181" t="s">
        <v>598</v>
      </c>
      <c r="F68" s="5"/>
      <c r="G68" s="1"/>
      <c r="H68" s="1"/>
      <c r="I68" s="1"/>
      <c r="J68" s="1"/>
      <c r="K68" s="1"/>
      <c r="L68" s="1"/>
      <c r="M68" s="1"/>
      <c r="N68" s="1"/>
      <c r="O68" s="1"/>
      <c r="P68" s="1"/>
      <c r="Q68" s="1"/>
      <c r="R68" s="1"/>
      <c r="S68" s="6"/>
    </row>
    <row r="69" spans="1:19" x14ac:dyDescent="0.3">
      <c r="A69" s="124"/>
      <c r="B69" s="125" t="s">
        <v>25</v>
      </c>
      <c r="C69" s="125"/>
      <c r="D69" s="151"/>
      <c r="E69" s="181" t="s">
        <v>599</v>
      </c>
      <c r="F69" s="5">
        <v>1</v>
      </c>
      <c r="G69" s="1">
        <v>1</v>
      </c>
      <c r="H69" s="1">
        <v>1</v>
      </c>
      <c r="I69" s="1">
        <v>2</v>
      </c>
      <c r="J69" s="1">
        <v>3</v>
      </c>
      <c r="K69" s="1">
        <v>3</v>
      </c>
      <c r="L69" s="1">
        <v>2</v>
      </c>
      <c r="M69" s="1">
        <v>3</v>
      </c>
      <c r="N69" s="1">
        <v>1</v>
      </c>
      <c r="O69" s="1">
        <v>2</v>
      </c>
      <c r="P69" s="1">
        <v>2</v>
      </c>
      <c r="Q69" s="1">
        <v>2</v>
      </c>
      <c r="R69" s="1"/>
      <c r="S69" s="6"/>
    </row>
    <row r="70" spans="1:19" x14ac:dyDescent="0.3">
      <c r="A70" s="124"/>
      <c r="B70" s="125"/>
      <c r="C70" s="125" t="s">
        <v>615</v>
      </c>
      <c r="D70" s="151"/>
      <c r="E70" s="187" t="s">
        <v>471</v>
      </c>
      <c r="F70" s="5"/>
      <c r="G70" s="1"/>
      <c r="H70" s="1"/>
      <c r="I70" s="1"/>
      <c r="J70" s="1"/>
      <c r="K70" s="1"/>
      <c r="L70" s="1"/>
      <c r="M70" s="1"/>
      <c r="N70" s="1"/>
      <c r="O70" s="1"/>
      <c r="P70" s="1"/>
      <c r="Q70" s="1"/>
      <c r="R70" s="1"/>
      <c r="S70" s="6"/>
    </row>
    <row r="71" spans="1:19" x14ac:dyDescent="0.3">
      <c r="A71" s="124"/>
      <c r="B71" s="125"/>
      <c r="C71" s="125" t="s">
        <v>616</v>
      </c>
      <c r="D71" s="151"/>
      <c r="E71" s="187" t="s">
        <v>541</v>
      </c>
      <c r="F71" s="5"/>
      <c r="G71" s="1"/>
      <c r="H71" s="1"/>
      <c r="I71" s="1"/>
      <c r="J71" s="1"/>
      <c r="K71" s="1"/>
      <c r="L71" s="1"/>
      <c r="M71" s="1"/>
      <c r="N71" s="1"/>
      <c r="O71" s="1"/>
      <c r="P71" s="1"/>
      <c r="Q71" s="1"/>
      <c r="R71" s="1"/>
      <c r="S71" s="6"/>
    </row>
    <row r="72" spans="1:19" x14ac:dyDescent="0.3">
      <c r="A72" s="124"/>
      <c r="B72" s="125"/>
      <c r="C72" s="125" t="s">
        <v>588</v>
      </c>
      <c r="D72" s="151"/>
      <c r="E72" s="187" t="s">
        <v>581</v>
      </c>
      <c r="F72" s="5"/>
      <c r="G72" s="1"/>
      <c r="H72" s="1"/>
      <c r="I72" s="1"/>
      <c r="J72" s="1"/>
      <c r="K72" s="1"/>
      <c r="L72" s="1"/>
      <c r="M72" s="1"/>
      <c r="N72" s="1"/>
      <c r="O72" s="1"/>
      <c r="P72" s="1"/>
      <c r="Q72" s="1"/>
      <c r="R72" s="1"/>
      <c r="S72" s="6"/>
    </row>
    <row r="73" spans="1:19" x14ac:dyDescent="0.3">
      <c r="A73" s="124"/>
      <c r="B73" s="125"/>
      <c r="C73" s="125" t="s">
        <v>444</v>
      </c>
      <c r="D73" s="151"/>
      <c r="E73" s="187" t="s">
        <v>583</v>
      </c>
      <c r="F73" s="5"/>
      <c r="G73" s="1"/>
      <c r="H73" s="1"/>
      <c r="I73" s="1"/>
      <c r="J73" s="1"/>
      <c r="K73" s="1"/>
      <c r="L73" s="1"/>
      <c r="M73" s="1"/>
      <c r="N73" s="1"/>
      <c r="O73" s="1"/>
      <c r="P73" s="1"/>
      <c r="Q73" s="1"/>
      <c r="R73" s="1"/>
      <c r="S73" s="6"/>
    </row>
    <row r="74" spans="1:19" x14ac:dyDescent="0.3">
      <c r="A74" s="124"/>
      <c r="B74" s="125"/>
      <c r="C74" s="125"/>
      <c r="D74" s="151"/>
      <c r="E74" s="181" t="s">
        <v>600</v>
      </c>
      <c r="F74" s="5"/>
      <c r="G74" s="1"/>
      <c r="H74" s="1"/>
      <c r="I74" s="1"/>
      <c r="J74" s="1"/>
      <c r="K74" s="1"/>
      <c r="L74" s="1"/>
      <c r="M74" s="1"/>
      <c r="N74" s="1"/>
      <c r="O74" s="1"/>
      <c r="P74" s="1"/>
      <c r="Q74" s="1"/>
      <c r="R74" s="1"/>
      <c r="S74" s="6"/>
    </row>
    <row r="75" spans="1:19" x14ac:dyDescent="0.3">
      <c r="A75" s="124"/>
      <c r="B75" s="125" t="s">
        <v>26</v>
      </c>
      <c r="C75" s="125"/>
      <c r="D75" s="151"/>
      <c r="E75" s="187" t="s">
        <v>471</v>
      </c>
      <c r="F75" s="5">
        <v>2</v>
      </c>
      <c r="G75" s="1">
        <v>2</v>
      </c>
      <c r="H75" s="1">
        <v>2</v>
      </c>
      <c r="I75" s="1">
        <v>3</v>
      </c>
      <c r="J75" s="1">
        <v>5</v>
      </c>
      <c r="K75" s="1">
        <v>5</v>
      </c>
      <c r="L75" s="1">
        <v>2</v>
      </c>
      <c r="M75" s="1">
        <v>3</v>
      </c>
      <c r="N75" s="1">
        <v>2</v>
      </c>
      <c r="O75" s="1">
        <v>3</v>
      </c>
      <c r="P75" s="1">
        <v>3</v>
      </c>
      <c r="Q75" s="1">
        <v>4</v>
      </c>
      <c r="R75" s="1"/>
      <c r="S75" s="6"/>
    </row>
    <row r="76" spans="1:19" x14ac:dyDescent="0.3">
      <c r="A76" s="124"/>
      <c r="B76" s="125"/>
      <c r="C76" s="125" t="s">
        <v>540</v>
      </c>
      <c r="D76" s="151"/>
      <c r="E76" s="187" t="s">
        <v>541</v>
      </c>
      <c r="F76" s="5"/>
      <c r="G76" s="1"/>
      <c r="H76" s="1"/>
      <c r="I76" s="1"/>
      <c r="J76" s="1"/>
      <c r="K76" s="1"/>
      <c r="L76" s="1"/>
      <c r="M76" s="1"/>
      <c r="N76" s="1"/>
      <c r="O76" s="1"/>
      <c r="P76" s="1"/>
      <c r="Q76" s="1"/>
      <c r="R76" s="1"/>
      <c r="S76" s="6"/>
    </row>
    <row r="77" spans="1:19" x14ac:dyDescent="0.3">
      <c r="A77" s="124"/>
      <c r="B77" s="125"/>
      <c r="C77" s="125" t="s">
        <v>617</v>
      </c>
      <c r="D77" s="151"/>
      <c r="E77" s="187" t="s">
        <v>581</v>
      </c>
      <c r="F77" s="5"/>
      <c r="G77" s="1"/>
      <c r="H77" s="1"/>
      <c r="I77" s="1"/>
      <c r="J77" s="1"/>
      <c r="K77" s="1"/>
      <c r="L77" s="1"/>
      <c r="M77" s="1"/>
      <c r="N77" s="1"/>
      <c r="O77" s="1"/>
      <c r="P77" s="1"/>
      <c r="Q77" s="1"/>
      <c r="R77" s="1"/>
      <c r="S77" s="6"/>
    </row>
    <row r="78" spans="1:19" x14ac:dyDescent="0.3">
      <c r="A78" s="124"/>
      <c r="B78" s="125"/>
      <c r="C78" s="125" t="s">
        <v>618</v>
      </c>
      <c r="D78" s="151"/>
      <c r="E78" s="187" t="s">
        <v>583</v>
      </c>
      <c r="F78" s="5"/>
      <c r="G78" s="1"/>
      <c r="H78" s="1"/>
      <c r="I78" s="1"/>
      <c r="J78" s="1"/>
      <c r="K78" s="1"/>
      <c r="L78" s="1"/>
      <c r="M78" s="1"/>
      <c r="N78" s="1"/>
      <c r="O78" s="1"/>
      <c r="P78" s="1"/>
      <c r="Q78" s="1"/>
      <c r="R78" s="1"/>
      <c r="S78" s="6"/>
    </row>
    <row r="79" spans="1:19" x14ac:dyDescent="0.3">
      <c r="A79" s="124"/>
      <c r="B79" s="125"/>
      <c r="C79" s="125" t="s">
        <v>619</v>
      </c>
      <c r="D79" s="151"/>
      <c r="E79" s="181" t="s">
        <v>601</v>
      </c>
      <c r="F79" s="5"/>
      <c r="G79" s="1"/>
      <c r="H79" s="1"/>
      <c r="I79" s="1"/>
      <c r="J79" s="1"/>
      <c r="K79" s="1"/>
      <c r="L79" s="1"/>
      <c r="M79" s="1"/>
      <c r="N79" s="1"/>
      <c r="O79" s="1"/>
      <c r="P79" s="1"/>
      <c r="Q79" s="1"/>
      <c r="R79" s="1"/>
      <c r="S79" s="6"/>
    </row>
    <row r="80" spans="1:19" x14ac:dyDescent="0.3">
      <c r="A80" s="124"/>
      <c r="B80" s="125"/>
      <c r="C80" s="125" t="s">
        <v>444</v>
      </c>
      <c r="D80" s="151"/>
      <c r="E80" s="187" t="s">
        <v>471</v>
      </c>
      <c r="F80" s="5"/>
      <c r="G80" s="1"/>
      <c r="H80" s="1"/>
      <c r="I80" s="1"/>
      <c r="J80" s="1"/>
      <c r="K80" s="1"/>
      <c r="L80" s="1"/>
      <c r="M80" s="1"/>
      <c r="N80" s="1"/>
      <c r="O80" s="1"/>
      <c r="P80" s="1"/>
      <c r="Q80" s="1"/>
      <c r="R80" s="1"/>
      <c r="S80" s="6"/>
    </row>
    <row r="81" spans="1:19" x14ac:dyDescent="0.3">
      <c r="A81" s="124"/>
      <c r="B81" s="125" t="s">
        <v>27</v>
      </c>
      <c r="C81" s="125"/>
      <c r="D81" s="151"/>
      <c r="E81" s="187" t="s">
        <v>541</v>
      </c>
      <c r="F81" s="5">
        <v>2</v>
      </c>
      <c r="G81" s="1">
        <v>2</v>
      </c>
      <c r="H81" s="1">
        <v>2</v>
      </c>
      <c r="I81" s="1">
        <v>3</v>
      </c>
      <c r="J81" s="1">
        <v>5</v>
      </c>
      <c r="K81" s="1">
        <v>5</v>
      </c>
      <c r="L81" s="1">
        <v>2</v>
      </c>
      <c r="M81" s="1">
        <v>3</v>
      </c>
      <c r="N81" s="1">
        <v>2</v>
      </c>
      <c r="O81" s="1">
        <v>3</v>
      </c>
      <c r="P81" s="1">
        <v>3</v>
      </c>
      <c r="Q81" s="1">
        <v>4</v>
      </c>
      <c r="R81" s="1"/>
      <c r="S81" s="6"/>
    </row>
    <row r="82" spans="1:19" x14ac:dyDescent="0.3">
      <c r="A82" s="124"/>
      <c r="B82" s="125"/>
      <c r="C82" s="125" t="s">
        <v>540</v>
      </c>
      <c r="D82" s="151"/>
      <c r="E82" s="187" t="s">
        <v>581</v>
      </c>
      <c r="F82" s="5"/>
      <c r="G82" s="1"/>
      <c r="H82" s="1"/>
      <c r="I82" s="1"/>
      <c r="J82" s="1"/>
      <c r="K82" s="1"/>
      <c r="L82" s="1"/>
      <c r="M82" s="1"/>
      <c r="N82" s="1"/>
      <c r="O82" s="1"/>
      <c r="P82" s="1"/>
      <c r="Q82" s="1"/>
      <c r="R82" s="1"/>
      <c r="S82" s="6"/>
    </row>
    <row r="83" spans="1:19" x14ac:dyDescent="0.3">
      <c r="A83" s="124"/>
      <c r="B83" s="125"/>
      <c r="C83" s="125" t="s">
        <v>620</v>
      </c>
      <c r="D83" s="151"/>
      <c r="E83" s="187" t="s">
        <v>583</v>
      </c>
      <c r="F83" s="5"/>
      <c r="G83" s="1"/>
      <c r="H83" s="1"/>
      <c r="I83" s="1"/>
      <c r="J83" s="1"/>
      <c r="K83" s="1"/>
      <c r="L83" s="1"/>
      <c r="M83" s="1"/>
      <c r="N83" s="1"/>
      <c r="O83" s="1"/>
      <c r="P83" s="1"/>
      <c r="Q83" s="1"/>
      <c r="R83" s="1"/>
      <c r="S83" s="6"/>
    </row>
    <row r="84" spans="1:19" x14ac:dyDescent="0.3">
      <c r="A84" s="124"/>
      <c r="B84" s="125"/>
      <c r="C84" s="125" t="s">
        <v>621</v>
      </c>
      <c r="D84" s="151"/>
      <c r="E84" s="181"/>
      <c r="F84" s="5"/>
      <c r="G84" s="1"/>
      <c r="H84" s="1"/>
      <c r="I84" s="1"/>
      <c r="J84" s="1"/>
      <c r="K84" s="1"/>
      <c r="L84" s="1"/>
      <c r="M84" s="1"/>
      <c r="N84" s="1"/>
      <c r="O84" s="1"/>
      <c r="P84" s="1"/>
      <c r="Q84" s="1"/>
      <c r="R84" s="1"/>
      <c r="S84" s="6"/>
    </row>
    <row r="85" spans="1:19" x14ac:dyDescent="0.3">
      <c r="A85" s="124"/>
      <c r="B85" s="125"/>
      <c r="C85" s="125" t="s">
        <v>622</v>
      </c>
      <c r="D85" s="151"/>
      <c r="E85" s="181"/>
      <c r="F85" s="5"/>
      <c r="G85" s="1"/>
      <c r="H85" s="1"/>
      <c r="I85" s="1"/>
      <c r="J85" s="1"/>
      <c r="K85" s="1"/>
      <c r="L85" s="1"/>
      <c r="M85" s="1"/>
      <c r="N85" s="1"/>
      <c r="O85" s="1"/>
      <c r="P85" s="1"/>
      <c r="Q85" s="1"/>
      <c r="R85" s="1"/>
      <c r="S85" s="6"/>
    </row>
    <row r="86" spans="1:19" x14ac:dyDescent="0.3">
      <c r="A86" s="124"/>
      <c r="B86" s="125"/>
      <c r="C86" s="125" t="s">
        <v>444</v>
      </c>
      <c r="D86" s="151"/>
      <c r="E86" s="181"/>
      <c r="F86" s="5"/>
      <c r="G86" s="1"/>
      <c r="H86" s="1"/>
      <c r="I86" s="1"/>
      <c r="J86" s="1"/>
      <c r="K86" s="1"/>
      <c r="L86" s="1"/>
      <c r="M86" s="1"/>
      <c r="N86" s="1"/>
      <c r="O86" s="1"/>
      <c r="P86" s="1"/>
      <c r="Q86" s="1"/>
      <c r="R86" s="1"/>
      <c r="S86" s="6"/>
    </row>
    <row r="87" spans="1:19" x14ac:dyDescent="0.3">
      <c r="A87" s="124"/>
      <c r="B87" s="125" t="s">
        <v>28</v>
      </c>
      <c r="C87" s="125"/>
      <c r="D87" s="151"/>
      <c r="E87" s="181"/>
      <c r="F87" s="5">
        <v>2</v>
      </c>
      <c r="G87" s="1">
        <v>2</v>
      </c>
      <c r="H87" s="1">
        <v>2</v>
      </c>
      <c r="I87" s="1">
        <v>3</v>
      </c>
      <c r="J87" s="1">
        <v>5</v>
      </c>
      <c r="K87" s="1">
        <v>5</v>
      </c>
      <c r="L87" s="1">
        <v>2</v>
      </c>
      <c r="M87" s="1">
        <v>3</v>
      </c>
      <c r="N87" s="1">
        <v>2</v>
      </c>
      <c r="O87" s="1">
        <v>3</v>
      </c>
      <c r="P87" s="1">
        <v>3</v>
      </c>
      <c r="Q87" s="1">
        <v>4</v>
      </c>
      <c r="R87" s="1"/>
      <c r="S87" s="6"/>
    </row>
    <row r="88" spans="1:19" x14ac:dyDescent="0.3">
      <c r="A88" s="124"/>
      <c r="B88" s="125"/>
      <c r="C88" s="125" t="s">
        <v>540</v>
      </c>
      <c r="D88" s="151"/>
      <c r="E88" s="181"/>
      <c r="F88" s="5"/>
      <c r="G88" s="1"/>
      <c r="H88" s="1"/>
      <c r="I88" s="1"/>
      <c r="J88" s="1"/>
      <c r="K88" s="1"/>
      <c r="L88" s="1"/>
      <c r="M88" s="1"/>
      <c r="N88" s="1"/>
      <c r="O88" s="1"/>
      <c r="P88" s="1"/>
      <c r="Q88" s="1"/>
      <c r="R88" s="1"/>
      <c r="S88" s="6"/>
    </row>
    <row r="89" spans="1:19" x14ac:dyDescent="0.3">
      <c r="A89" s="124"/>
      <c r="B89" s="125"/>
      <c r="C89" s="125" t="s">
        <v>623</v>
      </c>
      <c r="D89" s="151"/>
      <c r="E89" s="181"/>
      <c r="F89" s="5"/>
      <c r="G89" s="1"/>
      <c r="H89" s="1"/>
      <c r="I89" s="1"/>
      <c r="J89" s="1"/>
      <c r="K89" s="1"/>
      <c r="L89" s="1"/>
      <c r="M89" s="1"/>
      <c r="N89" s="1"/>
      <c r="O89" s="1"/>
      <c r="P89" s="1"/>
      <c r="Q89" s="1"/>
      <c r="R89" s="1"/>
      <c r="S89" s="6"/>
    </row>
    <row r="90" spans="1:19" x14ac:dyDescent="0.3">
      <c r="A90" s="124"/>
      <c r="B90" s="125"/>
      <c r="C90" s="125" t="s">
        <v>624</v>
      </c>
      <c r="D90" s="151"/>
      <c r="E90" s="181"/>
      <c r="F90" s="5"/>
      <c r="G90" s="1"/>
      <c r="H90" s="1"/>
      <c r="I90" s="1"/>
      <c r="J90" s="1"/>
      <c r="K90" s="1"/>
      <c r="L90" s="1"/>
      <c r="M90" s="1"/>
      <c r="N90" s="1"/>
      <c r="O90" s="1"/>
      <c r="P90" s="1"/>
      <c r="Q90" s="1"/>
      <c r="R90" s="1"/>
      <c r="S90" s="6"/>
    </row>
    <row r="91" spans="1:19" x14ac:dyDescent="0.3">
      <c r="A91" s="124"/>
      <c r="B91" s="125"/>
      <c r="C91" s="125" t="s">
        <v>625</v>
      </c>
      <c r="D91" s="151"/>
      <c r="E91" s="181"/>
      <c r="F91" s="5"/>
      <c r="G91" s="1"/>
      <c r="H91" s="1"/>
      <c r="I91" s="1"/>
      <c r="J91" s="1"/>
      <c r="K91" s="1"/>
      <c r="L91" s="1"/>
      <c r="M91" s="1"/>
      <c r="N91" s="1"/>
      <c r="O91" s="1"/>
      <c r="P91" s="1"/>
      <c r="Q91" s="1"/>
      <c r="R91" s="1"/>
      <c r="S91" s="6"/>
    </row>
    <row r="92" spans="1:19" x14ac:dyDescent="0.3">
      <c r="A92" s="124"/>
      <c r="B92" s="125"/>
      <c r="C92" s="125" t="s">
        <v>444</v>
      </c>
      <c r="D92" s="151"/>
      <c r="E92" s="181"/>
      <c r="F92" s="5"/>
      <c r="G92" s="1"/>
      <c r="H92" s="1"/>
      <c r="I92" s="1"/>
      <c r="J92" s="1"/>
      <c r="K92" s="1"/>
      <c r="L92" s="1"/>
      <c r="M92" s="1"/>
      <c r="N92" s="1"/>
      <c r="O92" s="1"/>
      <c r="P92" s="1"/>
      <c r="Q92" s="1"/>
      <c r="R92" s="1"/>
      <c r="S92" s="6"/>
    </row>
    <row r="93" spans="1:19" x14ac:dyDescent="0.3">
      <c r="A93" s="124"/>
      <c r="B93" s="125" t="s">
        <v>29</v>
      </c>
      <c r="C93" s="125"/>
      <c r="D93" s="151"/>
      <c r="E93" s="181"/>
      <c r="F93" s="5">
        <v>2</v>
      </c>
      <c r="G93" s="1">
        <v>2</v>
      </c>
      <c r="H93" s="1">
        <v>2</v>
      </c>
      <c r="I93" s="1">
        <v>3</v>
      </c>
      <c r="J93" s="1">
        <v>5</v>
      </c>
      <c r="K93" s="1">
        <v>5</v>
      </c>
      <c r="L93" s="1">
        <v>2</v>
      </c>
      <c r="M93" s="1">
        <v>3</v>
      </c>
      <c r="N93" s="1">
        <v>2</v>
      </c>
      <c r="O93" s="1">
        <v>3</v>
      </c>
      <c r="P93" s="1">
        <v>3</v>
      </c>
      <c r="Q93" s="1">
        <v>4</v>
      </c>
      <c r="R93" s="1"/>
      <c r="S93" s="6"/>
    </row>
    <row r="94" spans="1:19" x14ac:dyDescent="0.3">
      <c r="A94" s="124"/>
      <c r="B94" s="125"/>
      <c r="C94" s="125" t="s">
        <v>540</v>
      </c>
      <c r="D94" s="151"/>
      <c r="E94" s="181"/>
      <c r="F94" s="5"/>
      <c r="G94" s="1"/>
      <c r="H94" s="1"/>
      <c r="I94" s="1"/>
      <c r="J94" s="1"/>
      <c r="K94" s="1"/>
      <c r="L94" s="1"/>
      <c r="M94" s="1"/>
      <c r="N94" s="1"/>
      <c r="O94" s="1"/>
      <c r="P94" s="1"/>
      <c r="Q94" s="1"/>
      <c r="R94" s="1"/>
      <c r="S94" s="6"/>
    </row>
    <row r="95" spans="1:19" x14ac:dyDescent="0.3">
      <c r="A95" s="124"/>
      <c r="B95" s="125"/>
      <c r="C95" s="125" t="s">
        <v>626</v>
      </c>
      <c r="D95" s="151"/>
      <c r="E95" s="181"/>
      <c r="F95" s="5"/>
      <c r="G95" s="1"/>
      <c r="H95" s="1"/>
      <c r="I95" s="1"/>
      <c r="J95" s="1"/>
      <c r="K95" s="1"/>
      <c r="L95" s="1"/>
      <c r="M95" s="1"/>
      <c r="N95" s="1"/>
      <c r="O95" s="1"/>
      <c r="P95" s="1"/>
      <c r="Q95" s="1"/>
      <c r="R95" s="1"/>
      <c r="S95" s="6"/>
    </row>
    <row r="96" spans="1:19" x14ac:dyDescent="0.3">
      <c r="A96" s="124"/>
      <c r="B96" s="125"/>
      <c r="C96" s="125" t="s">
        <v>627</v>
      </c>
      <c r="D96" s="151"/>
      <c r="E96" s="181"/>
      <c r="F96" s="5"/>
      <c r="G96" s="1"/>
      <c r="H96" s="1"/>
      <c r="I96" s="1"/>
      <c r="J96" s="1"/>
      <c r="K96" s="1"/>
      <c r="L96" s="1"/>
      <c r="M96" s="1"/>
      <c r="N96" s="1"/>
      <c r="O96" s="1"/>
      <c r="P96" s="1"/>
      <c r="Q96" s="1"/>
      <c r="R96" s="1"/>
      <c r="S96" s="6"/>
    </row>
    <row r="97" spans="1:19" x14ac:dyDescent="0.3">
      <c r="A97" s="124"/>
      <c r="B97" s="125"/>
      <c r="C97" s="125" t="s">
        <v>628</v>
      </c>
      <c r="D97" s="151"/>
      <c r="E97" s="181"/>
      <c r="F97" s="5"/>
      <c r="G97" s="1"/>
      <c r="H97" s="1"/>
      <c r="I97" s="1"/>
      <c r="J97" s="1"/>
      <c r="K97" s="1"/>
      <c r="L97" s="1"/>
      <c r="M97" s="1"/>
      <c r="N97" s="1"/>
      <c r="O97" s="1"/>
      <c r="P97" s="1"/>
      <c r="Q97" s="1"/>
      <c r="R97" s="1"/>
      <c r="S97" s="6"/>
    </row>
    <row r="98" spans="1:19" x14ac:dyDescent="0.3">
      <c r="A98" s="124"/>
      <c r="B98" s="125"/>
      <c r="C98" s="125" t="s">
        <v>444</v>
      </c>
      <c r="D98" s="151"/>
      <c r="E98" s="181"/>
      <c r="F98" s="5"/>
      <c r="G98" s="1"/>
      <c r="H98" s="1"/>
      <c r="I98" s="1"/>
      <c r="J98" s="1"/>
      <c r="K98" s="1"/>
      <c r="L98" s="1"/>
      <c r="M98" s="1"/>
      <c r="N98" s="1"/>
      <c r="O98" s="1"/>
      <c r="P98" s="1"/>
      <c r="Q98" s="1"/>
      <c r="R98" s="1"/>
      <c r="S98" s="6"/>
    </row>
    <row r="99" spans="1:19" x14ac:dyDescent="0.3">
      <c r="A99" s="124"/>
      <c r="B99" s="125" t="s">
        <v>30</v>
      </c>
      <c r="C99" s="125"/>
      <c r="D99" s="151"/>
      <c r="E99" s="181"/>
      <c r="F99" s="5">
        <v>2</v>
      </c>
      <c r="G99" s="1">
        <v>2</v>
      </c>
      <c r="H99" s="1">
        <v>2</v>
      </c>
      <c r="I99" s="1">
        <v>3</v>
      </c>
      <c r="J99" s="1">
        <v>5</v>
      </c>
      <c r="K99" s="1">
        <v>5</v>
      </c>
      <c r="L99" s="1">
        <v>2</v>
      </c>
      <c r="M99" s="1">
        <v>3</v>
      </c>
      <c r="N99" s="1">
        <v>2</v>
      </c>
      <c r="O99" s="1">
        <v>3</v>
      </c>
      <c r="P99" s="1">
        <v>3</v>
      </c>
      <c r="Q99" s="1">
        <v>4</v>
      </c>
      <c r="R99" s="1"/>
      <c r="S99" s="6"/>
    </row>
    <row r="100" spans="1:19" x14ac:dyDescent="0.3">
      <c r="A100" s="124"/>
      <c r="B100" s="125"/>
      <c r="C100" s="125" t="s">
        <v>629</v>
      </c>
      <c r="D100" s="151"/>
      <c r="E100" s="181"/>
      <c r="F100" s="5"/>
      <c r="G100" s="1"/>
      <c r="H100" s="1"/>
      <c r="I100" s="1"/>
      <c r="J100" s="1"/>
      <c r="K100" s="1"/>
      <c r="L100" s="1"/>
      <c r="M100" s="1"/>
      <c r="N100" s="1"/>
      <c r="O100" s="1"/>
      <c r="P100" s="1"/>
      <c r="Q100" s="1"/>
      <c r="R100" s="1"/>
      <c r="S100" s="6"/>
    </row>
    <row r="101" spans="1:19" x14ac:dyDescent="0.3">
      <c r="A101" s="124"/>
      <c r="B101" s="125"/>
      <c r="C101" s="125" t="s">
        <v>630</v>
      </c>
      <c r="D101" s="151"/>
      <c r="E101" s="181"/>
      <c r="F101" s="5"/>
      <c r="G101" s="1"/>
      <c r="H101" s="1"/>
      <c r="I101" s="1"/>
      <c r="J101" s="1"/>
      <c r="K101" s="1"/>
      <c r="L101" s="1"/>
      <c r="M101" s="1"/>
      <c r="N101" s="1"/>
      <c r="O101" s="1"/>
      <c r="P101" s="1"/>
      <c r="Q101" s="1"/>
      <c r="R101" s="1"/>
      <c r="S101" s="6"/>
    </row>
    <row r="102" spans="1:19" x14ac:dyDescent="0.3">
      <c r="A102" s="124"/>
      <c r="B102" s="125"/>
      <c r="C102" s="125" t="s">
        <v>631</v>
      </c>
      <c r="D102" s="151"/>
      <c r="E102" s="181"/>
      <c r="F102" s="5"/>
      <c r="G102" s="1"/>
      <c r="H102" s="1"/>
      <c r="I102" s="1"/>
      <c r="J102" s="1"/>
      <c r="K102" s="1"/>
      <c r="L102" s="1"/>
      <c r="M102" s="1"/>
      <c r="N102" s="1"/>
      <c r="O102" s="1"/>
      <c r="P102" s="1"/>
      <c r="Q102" s="1"/>
      <c r="R102" s="1"/>
      <c r="S102" s="6"/>
    </row>
    <row r="103" spans="1:19" x14ac:dyDescent="0.3">
      <c r="A103" s="124"/>
      <c r="B103" s="125"/>
      <c r="C103" s="125" t="s">
        <v>444</v>
      </c>
      <c r="D103" s="151"/>
      <c r="E103" s="181"/>
      <c r="F103" s="5"/>
      <c r="G103" s="1"/>
      <c r="H103" s="1"/>
      <c r="I103" s="1"/>
      <c r="J103" s="1"/>
      <c r="K103" s="1"/>
      <c r="L103" s="1"/>
      <c r="M103" s="1"/>
      <c r="N103" s="1"/>
      <c r="O103" s="1"/>
      <c r="P103" s="1"/>
      <c r="Q103" s="1"/>
      <c r="R103" s="1"/>
      <c r="S103" s="6"/>
    </row>
    <row r="104" spans="1:19" x14ac:dyDescent="0.3">
      <c r="A104" s="124"/>
      <c r="B104" s="125"/>
      <c r="C104" s="125" t="s">
        <v>617</v>
      </c>
      <c r="D104" s="151"/>
      <c r="E104" s="181"/>
      <c r="F104" s="5"/>
      <c r="G104" s="1"/>
      <c r="H104" s="1"/>
      <c r="I104" s="1"/>
      <c r="J104" s="1"/>
      <c r="K104" s="1"/>
      <c r="L104" s="1"/>
      <c r="M104" s="1"/>
      <c r="N104" s="1"/>
      <c r="O104" s="1"/>
      <c r="P104" s="1"/>
      <c r="Q104" s="1"/>
      <c r="R104" s="1"/>
      <c r="S104" s="6"/>
    </row>
    <row r="105" spans="1:19" x14ac:dyDescent="0.3">
      <c r="A105" s="124"/>
      <c r="B105" s="125" t="s">
        <v>632</v>
      </c>
      <c r="C105" s="125"/>
      <c r="D105" s="151"/>
      <c r="E105" s="181"/>
      <c r="F105" s="5">
        <v>2</v>
      </c>
      <c r="G105" s="1">
        <v>2</v>
      </c>
      <c r="H105" s="1">
        <v>2</v>
      </c>
      <c r="I105" s="1">
        <v>3</v>
      </c>
      <c r="J105" s="1">
        <v>5</v>
      </c>
      <c r="K105" s="1">
        <v>5</v>
      </c>
      <c r="L105" s="1">
        <v>2</v>
      </c>
      <c r="M105" s="1">
        <v>3</v>
      </c>
      <c r="N105" s="1">
        <v>1</v>
      </c>
      <c r="O105" s="1">
        <v>2</v>
      </c>
      <c r="P105" s="1">
        <v>2</v>
      </c>
      <c r="Q105" s="1">
        <v>3</v>
      </c>
      <c r="R105" s="1"/>
      <c r="S105" s="6"/>
    </row>
    <row r="106" spans="1:19" x14ac:dyDescent="0.3">
      <c r="A106" s="124"/>
      <c r="B106" s="152" t="s">
        <v>527</v>
      </c>
      <c r="C106" s="152"/>
      <c r="D106" s="153"/>
      <c r="E106" s="152"/>
      <c r="F106">
        <v>3</v>
      </c>
      <c r="G106">
        <v>3</v>
      </c>
      <c r="H106">
        <v>4</v>
      </c>
      <c r="I106">
        <v>4</v>
      </c>
      <c r="J106">
        <v>8</v>
      </c>
      <c r="K106">
        <v>8</v>
      </c>
      <c r="L106">
        <v>4</v>
      </c>
      <c r="M106">
        <v>8</v>
      </c>
      <c r="N106">
        <v>2</v>
      </c>
      <c r="O106">
        <v>5</v>
      </c>
      <c r="P106">
        <v>4</v>
      </c>
      <c r="Q106">
        <v>5</v>
      </c>
      <c r="R106" s="1"/>
      <c r="S106" s="6"/>
    </row>
    <row r="107" spans="1:19" ht="15" thickBot="1" x14ac:dyDescent="0.35">
      <c r="A107" s="59">
        <f>COUNTA(A2:A106)</f>
        <v>5</v>
      </c>
      <c r="B107" s="154">
        <f t="shared" ref="B107:D107" si="1">COUNTA(B2:B106)</f>
        <v>31</v>
      </c>
      <c r="C107" s="154">
        <f t="shared" si="1"/>
        <v>60</v>
      </c>
      <c r="D107" s="155">
        <f t="shared" si="1"/>
        <v>8</v>
      </c>
      <c r="E107" s="155">
        <f>COUNTA(E2:E106)</f>
        <v>82</v>
      </c>
      <c r="F107" s="12">
        <f>SUM(F2:F106)</f>
        <v>34</v>
      </c>
      <c r="G107" s="15">
        <f t="shared" ref="G107:S107" si="2">SUM(G2:G106)</f>
        <v>34</v>
      </c>
      <c r="H107" s="15">
        <f t="shared" si="2"/>
        <v>32</v>
      </c>
      <c r="I107" s="15">
        <f t="shared" si="2"/>
        <v>55</v>
      </c>
      <c r="J107" s="15">
        <f t="shared" si="2"/>
        <v>90</v>
      </c>
      <c r="K107" s="15">
        <f t="shared" si="2"/>
        <v>90</v>
      </c>
      <c r="L107" s="15">
        <f t="shared" si="2"/>
        <v>44</v>
      </c>
      <c r="M107" s="15">
        <f t="shared" si="2"/>
        <v>67</v>
      </c>
      <c r="N107" s="15">
        <f t="shared" si="2"/>
        <v>31</v>
      </c>
      <c r="O107" s="15">
        <f t="shared" si="2"/>
        <v>54</v>
      </c>
      <c r="P107" s="15">
        <f t="shared" si="2"/>
        <v>54</v>
      </c>
      <c r="Q107" s="15">
        <f t="shared" si="2"/>
        <v>65</v>
      </c>
      <c r="R107" s="15">
        <f t="shared" si="2"/>
        <v>20</v>
      </c>
      <c r="S107" s="15">
        <f t="shared" si="2"/>
        <v>20</v>
      </c>
    </row>
  </sheetData>
  <dataConsolidate/>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10FD-B7BC-4F43-8B00-9CDAD041CE11}">
  <dimension ref="A1:R126"/>
  <sheetViews>
    <sheetView topLeftCell="B107" workbookViewId="0">
      <selection sqref="A1:R126"/>
    </sheetView>
  </sheetViews>
  <sheetFormatPr defaultRowHeight="14.4" x14ac:dyDescent="0.3"/>
  <cols>
    <col min="1" max="1" width="14.44140625" bestFit="1" customWidth="1"/>
    <col min="2" max="2" width="14.6640625" bestFit="1" customWidth="1"/>
    <col min="3" max="3" width="24.5546875" bestFit="1" customWidth="1"/>
    <col min="4" max="4" width="30.6640625" bestFit="1" customWidth="1"/>
    <col min="5" max="5" width="5.44140625" customWidth="1"/>
    <col min="6" max="6" width="5.109375" customWidth="1"/>
    <col min="7" max="7" width="10.5546875" customWidth="1"/>
    <col min="8" max="8" width="11.109375" customWidth="1"/>
    <col min="9" max="10" width="7" customWidth="1"/>
    <col min="11" max="11" width="10.6640625" customWidth="1"/>
    <col min="12" max="12" width="13.6640625" customWidth="1"/>
    <col min="13" max="13" width="6.33203125" customWidth="1"/>
    <col min="14" max="14" width="14" customWidth="1"/>
    <col min="15" max="15" width="5.33203125" customWidth="1"/>
    <col min="16" max="16" width="4.6640625" customWidth="1"/>
    <col min="17" max="17" width="15.6640625" customWidth="1"/>
    <col min="18" max="18" width="16.6640625" customWidth="1"/>
  </cols>
  <sheetData>
    <row r="1" spans="1:18" x14ac:dyDescent="0.3">
      <c r="A1" s="32" t="s">
        <v>1</v>
      </c>
      <c r="B1" s="32" t="s">
        <v>151</v>
      </c>
      <c r="C1" s="32" t="s">
        <v>3</v>
      </c>
      <c r="D1" s="32" t="s">
        <v>152</v>
      </c>
      <c r="E1" s="32" t="s">
        <v>81</v>
      </c>
      <c r="F1" s="32" t="s">
        <v>61</v>
      </c>
      <c r="G1" s="32" t="s">
        <v>82</v>
      </c>
      <c r="H1" s="32" t="s">
        <v>83</v>
      </c>
      <c r="I1" s="32" t="s">
        <v>84</v>
      </c>
      <c r="J1" s="32" t="s">
        <v>85</v>
      </c>
      <c r="K1" s="32" t="s">
        <v>86</v>
      </c>
      <c r="L1" s="32" t="s">
        <v>87</v>
      </c>
      <c r="M1" s="32" t="s">
        <v>88</v>
      </c>
      <c r="N1" s="32" t="s">
        <v>89</v>
      </c>
      <c r="O1" s="32" t="s">
        <v>90</v>
      </c>
      <c r="P1" s="32" t="s">
        <v>91</v>
      </c>
      <c r="Q1" s="32" t="s">
        <v>92</v>
      </c>
      <c r="R1" s="32" t="s">
        <v>93</v>
      </c>
    </row>
    <row r="2" spans="1:18" x14ac:dyDescent="0.3">
      <c r="A2" s="20"/>
      <c r="B2" s="20" t="s">
        <v>633</v>
      </c>
      <c r="C2" s="20" t="s">
        <v>634</v>
      </c>
      <c r="D2" s="20" t="s">
        <v>634</v>
      </c>
      <c r="E2" s="20" t="s">
        <v>634</v>
      </c>
      <c r="F2" s="20" t="s">
        <v>634</v>
      </c>
      <c r="G2" s="20" t="s">
        <v>634</v>
      </c>
      <c r="H2" s="20" t="s">
        <v>634</v>
      </c>
      <c r="I2" s="20" t="s">
        <v>634</v>
      </c>
      <c r="J2" s="20" t="s">
        <v>634</v>
      </c>
      <c r="K2" s="20" t="s">
        <v>634</v>
      </c>
      <c r="L2" s="20" t="s">
        <v>634</v>
      </c>
      <c r="M2" s="20" t="s">
        <v>634</v>
      </c>
      <c r="N2" s="20" t="s">
        <v>634</v>
      </c>
      <c r="O2" s="20" t="s">
        <v>634</v>
      </c>
      <c r="P2" s="20" t="s">
        <v>634</v>
      </c>
      <c r="Q2" s="20" t="s">
        <v>634</v>
      </c>
      <c r="R2" s="20" t="s">
        <v>634</v>
      </c>
    </row>
    <row r="3" spans="1:18" x14ac:dyDescent="0.3">
      <c r="A3" s="21"/>
      <c r="B3" s="21" t="s">
        <v>634</v>
      </c>
      <c r="C3" s="21" t="s">
        <v>9</v>
      </c>
      <c r="D3" s="21" t="s">
        <v>634</v>
      </c>
      <c r="E3" s="21" t="s">
        <v>634</v>
      </c>
      <c r="F3" s="21" t="s">
        <v>634</v>
      </c>
      <c r="G3" s="21" t="s">
        <v>634</v>
      </c>
      <c r="H3" s="21" t="s">
        <v>634</v>
      </c>
      <c r="I3" s="21" t="s">
        <v>634</v>
      </c>
      <c r="J3" s="21" t="s">
        <v>634</v>
      </c>
      <c r="K3" s="21" t="s">
        <v>634</v>
      </c>
      <c r="L3" s="21" t="s">
        <v>634</v>
      </c>
      <c r="M3" s="21" t="s">
        <v>634</v>
      </c>
      <c r="N3" s="21" t="s">
        <v>634</v>
      </c>
      <c r="O3" s="21" t="s">
        <v>634</v>
      </c>
      <c r="P3" s="21" t="s">
        <v>634</v>
      </c>
      <c r="Q3" s="21" t="s">
        <v>634</v>
      </c>
      <c r="R3" s="21" t="s">
        <v>634</v>
      </c>
    </row>
    <row r="4" spans="1:18" x14ac:dyDescent="0.3">
      <c r="A4" s="20"/>
      <c r="B4" s="20" t="s">
        <v>634</v>
      </c>
      <c r="C4" s="20" t="s">
        <v>635</v>
      </c>
      <c r="D4" s="20" t="s">
        <v>634</v>
      </c>
      <c r="E4" s="20" t="s">
        <v>634</v>
      </c>
      <c r="F4" s="20" t="s">
        <v>634</v>
      </c>
      <c r="G4" s="20" t="s">
        <v>634</v>
      </c>
      <c r="H4" s="20" t="s">
        <v>634</v>
      </c>
      <c r="I4" s="20" t="s">
        <v>634</v>
      </c>
      <c r="J4" s="20" t="s">
        <v>634</v>
      </c>
      <c r="K4" s="20" t="s">
        <v>634</v>
      </c>
      <c r="L4" s="20" t="s">
        <v>634</v>
      </c>
      <c r="M4" s="20" t="s">
        <v>634</v>
      </c>
      <c r="N4" s="20" t="s">
        <v>634</v>
      </c>
      <c r="O4" s="20" t="s">
        <v>634</v>
      </c>
      <c r="P4" s="20" t="s">
        <v>634</v>
      </c>
      <c r="Q4" s="20" t="s">
        <v>634</v>
      </c>
      <c r="R4" s="20" t="s">
        <v>634</v>
      </c>
    </row>
    <row r="5" spans="1:18" x14ac:dyDescent="0.3">
      <c r="A5" s="20"/>
      <c r="B5" s="20"/>
      <c r="C5" s="20" t="s">
        <v>538</v>
      </c>
      <c r="D5" s="20"/>
      <c r="E5" s="20"/>
      <c r="F5" s="20"/>
      <c r="G5" s="20"/>
      <c r="H5" s="20"/>
      <c r="I5" s="20"/>
      <c r="J5" s="20"/>
      <c r="K5" s="20"/>
      <c r="L5" s="20"/>
      <c r="M5" s="20"/>
      <c r="N5" s="20"/>
      <c r="O5" s="20"/>
      <c r="P5" s="20"/>
      <c r="Q5" s="20"/>
      <c r="R5" s="20"/>
    </row>
    <row r="6" spans="1:18" x14ac:dyDescent="0.3">
      <c r="A6" s="20"/>
      <c r="B6" s="20"/>
      <c r="C6" s="20" t="s">
        <v>533</v>
      </c>
      <c r="D6" s="20"/>
      <c r="E6" s="20"/>
      <c r="F6" s="20"/>
      <c r="G6" s="20"/>
      <c r="H6" s="20"/>
      <c r="I6" s="20"/>
      <c r="J6" s="20"/>
      <c r="K6" s="20"/>
      <c r="L6" s="20"/>
      <c r="M6" s="20"/>
      <c r="N6" s="20"/>
      <c r="O6" s="20"/>
      <c r="P6" s="20"/>
      <c r="Q6" s="20"/>
      <c r="R6" s="20"/>
    </row>
    <row r="7" spans="1:18" x14ac:dyDescent="0.3">
      <c r="A7" s="20"/>
      <c r="B7" s="20"/>
      <c r="C7" s="20" t="s">
        <v>12</v>
      </c>
      <c r="D7" s="20"/>
      <c r="E7" s="20"/>
      <c r="F7" s="20"/>
      <c r="G7" s="20"/>
      <c r="H7" s="20"/>
      <c r="I7" s="20"/>
      <c r="J7" s="20"/>
      <c r="K7" s="20"/>
      <c r="L7" s="20"/>
      <c r="M7" s="20"/>
      <c r="N7" s="20"/>
      <c r="O7" s="20"/>
      <c r="P7" s="20"/>
      <c r="Q7" s="20"/>
      <c r="R7" s="20"/>
    </row>
    <row r="8" spans="1:18" x14ac:dyDescent="0.3">
      <c r="A8" s="21"/>
      <c r="B8" s="21" t="s">
        <v>636</v>
      </c>
      <c r="C8" s="21" t="s">
        <v>634</v>
      </c>
      <c r="D8" s="21" t="s">
        <v>634</v>
      </c>
      <c r="E8" s="21" t="s">
        <v>634</v>
      </c>
      <c r="F8" s="21" t="s">
        <v>634</v>
      </c>
      <c r="G8" s="21" t="s">
        <v>634</v>
      </c>
      <c r="H8" s="21" t="s">
        <v>634</v>
      </c>
      <c r="I8" s="21" t="s">
        <v>634</v>
      </c>
      <c r="J8" s="21" t="s">
        <v>634</v>
      </c>
      <c r="K8" s="21" t="s">
        <v>634</v>
      </c>
      <c r="L8" s="21" t="s">
        <v>634</v>
      </c>
      <c r="M8" s="21" t="s">
        <v>634</v>
      </c>
      <c r="N8" s="21" t="s">
        <v>634</v>
      </c>
      <c r="O8" s="21" t="s">
        <v>634</v>
      </c>
      <c r="P8" s="21" t="s">
        <v>634</v>
      </c>
      <c r="Q8" s="21" t="s">
        <v>634</v>
      </c>
      <c r="R8" s="21" t="s">
        <v>634</v>
      </c>
    </row>
    <row r="9" spans="1:18" x14ac:dyDescent="0.3">
      <c r="A9" s="20"/>
      <c r="B9" s="20" t="s">
        <v>634</v>
      </c>
      <c r="C9" s="20" t="s">
        <v>637</v>
      </c>
      <c r="D9" s="20" t="s">
        <v>638</v>
      </c>
      <c r="E9" s="20" t="s">
        <v>634</v>
      </c>
      <c r="F9" s="20" t="s">
        <v>634</v>
      </c>
      <c r="G9" s="20" t="s">
        <v>634</v>
      </c>
      <c r="H9" s="20" t="s">
        <v>634</v>
      </c>
      <c r="I9" s="20" t="s">
        <v>634</v>
      </c>
      <c r="J9" s="20" t="s">
        <v>634</v>
      </c>
      <c r="K9" s="20" t="s">
        <v>634</v>
      </c>
      <c r="L9" s="20" t="s">
        <v>634</v>
      </c>
      <c r="M9" s="20" t="s">
        <v>634</v>
      </c>
      <c r="N9" s="20" t="s">
        <v>634</v>
      </c>
      <c r="O9" s="20" t="s">
        <v>634</v>
      </c>
      <c r="P9" s="20" t="s">
        <v>634</v>
      </c>
      <c r="Q9" s="20" t="s">
        <v>634</v>
      </c>
      <c r="R9" s="20" t="s">
        <v>634</v>
      </c>
    </row>
    <row r="10" spans="1:18" x14ac:dyDescent="0.3">
      <c r="A10" s="21"/>
      <c r="B10" s="21" t="s">
        <v>634</v>
      </c>
      <c r="C10" s="21" t="s">
        <v>634</v>
      </c>
      <c r="D10" s="21" t="s">
        <v>639</v>
      </c>
      <c r="E10" s="21" t="s">
        <v>634</v>
      </c>
      <c r="F10" s="21" t="s">
        <v>634</v>
      </c>
      <c r="G10" s="21" t="s">
        <v>634</v>
      </c>
      <c r="H10" s="21" t="s">
        <v>634</v>
      </c>
      <c r="I10" s="21" t="s">
        <v>634</v>
      </c>
      <c r="J10" s="21" t="s">
        <v>634</v>
      </c>
      <c r="K10" s="21" t="s">
        <v>634</v>
      </c>
      <c r="L10" s="21" t="s">
        <v>634</v>
      </c>
      <c r="M10" s="21" t="s">
        <v>634</v>
      </c>
      <c r="N10" s="21" t="s">
        <v>634</v>
      </c>
      <c r="O10" s="21" t="s">
        <v>634</v>
      </c>
      <c r="P10" s="21" t="s">
        <v>634</v>
      </c>
      <c r="Q10" s="21" t="s">
        <v>634</v>
      </c>
      <c r="R10" s="21" t="s">
        <v>634</v>
      </c>
    </row>
    <row r="11" spans="1:18" x14ac:dyDescent="0.3">
      <c r="A11" s="22"/>
      <c r="B11" s="22" t="s">
        <v>634</v>
      </c>
      <c r="C11" s="20" t="s">
        <v>443</v>
      </c>
      <c r="D11" s="20" t="s">
        <v>634</v>
      </c>
      <c r="E11" s="20" t="s">
        <v>634</v>
      </c>
      <c r="F11" s="20" t="s">
        <v>634</v>
      </c>
      <c r="G11" s="20" t="s">
        <v>634</v>
      </c>
      <c r="H11" s="20" t="s">
        <v>634</v>
      </c>
      <c r="I11" s="20" t="s">
        <v>634</v>
      </c>
      <c r="J11" s="20" t="s">
        <v>634</v>
      </c>
      <c r="K11" s="20" t="s">
        <v>634</v>
      </c>
      <c r="L11" s="20" t="s">
        <v>634</v>
      </c>
      <c r="M11" s="20" t="s">
        <v>634</v>
      </c>
      <c r="N11" s="20" t="s">
        <v>634</v>
      </c>
      <c r="O11" s="20" t="s">
        <v>634</v>
      </c>
      <c r="P11" s="20" t="s">
        <v>634</v>
      </c>
      <c r="Q11" s="20" t="s">
        <v>634</v>
      </c>
      <c r="R11" s="23" t="s">
        <v>634</v>
      </c>
    </row>
    <row r="12" spans="1:18" x14ac:dyDescent="0.3">
      <c r="A12" s="21" t="s">
        <v>387</v>
      </c>
      <c r="B12" s="21" t="s">
        <v>634</v>
      </c>
      <c r="C12" s="21" t="s">
        <v>634</v>
      </c>
      <c r="D12" s="21" t="s">
        <v>634</v>
      </c>
      <c r="E12" s="21" t="s">
        <v>634</v>
      </c>
      <c r="F12" s="21" t="s">
        <v>634</v>
      </c>
      <c r="G12" s="21" t="s">
        <v>634</v>
      </c>
      <c r="H12" s="21" t="s">
        <v>634</v>
      </c>
      <c r="I12" s="21" t="s">
        <v>634</v>
      </c>
      <c r="J12" s="21" t="s">
        <v>634</v>
      </c>
      <c r="K12" s="21" t="s">
        <v>634</v>
      </c>
      <c r="L12" s="21" t="s">
        <v>634</v>
      </c>
      <c r="M12" s="21" t="s">
        <v>634</v>
      </c>
      <c r="N12" s="21" t="s">
        <v>634</v>
      </c>
      <c r="O12" s="21" t="s">
        <v>634</v>
      </c>
      <c r="P12" s="21" t="s">
        <v>634</v>
      </c>
      <c r="Q12" s="21" t="s">
        <v>634</v>
      </c>
      <c r="R12" s="21" t="s">
        <v>634</v>
      </c>
    </row>
    <row r="13" spans="1:18" x14ac:dyDescent="0.3">
      <c r="A13" s="20" t="s">
        <v>634</v>
      </c>
      <c r="B13" s="20" t="s">
        <v>640</v>
      </c>
      <c r="C13" s="20" t="s">
        <v>634</v>
      </c>
      <c r="D13" s="20" t="s">
        <v>634</v>
      </c>
      <c r="E13" s="20" t="s">
        <v>634</v>
      </c>
      <c r="F13" s="20" t="s">
        <v>634</v>
      </c>
      <c r="G13" s="20" t="s">
        <v>634</v>
      </c>
      <c r="H13" s="20" t="s">
        <v>634</v>
      </c>
      <c r="I13" s="20" t="s">
        <v>634</v>
      </c>
      <c r="J13" s="20" t="s">
        <v>634</v>
      </c>
      <c r="K13" s="20" t="s">
        <v>634</v>
      </c>
      <c r="L13" s="20" t="s">
        <v>634</v>
      </c>
      <c r="M13" s="20" t="s">
        <v>634</v>
      </c>
      <c r="N13" s="20" t="s">
        <v>634</v>
      </c>
      <c r="O13" s="20" t="s">
        <v>634</v>
      </c>
      <c r="P13" s="20" t="s">
        <v>634</v>
      </c>
      <c r="Q13" s="20" t="s">
        <v>634</v>
      </c>
      <c r="R13" s="20" t="s">
        <v>634</v>
      </c>
    </row>
    <row r="14" spans="1:18" x14ac:dyDescent="0.3">
      <c r="A14" s="21" t="s">
        <v>634</v>
      </c>
      <c r="B14" s="21" t="s">
        <v>634</v>
      </c>
      <c r="C14" s="21" t="s">
        <v>16</v>
      </c>
      <c r="D14" s="21" t="s">
        <v>634</v>
      </c>
      <c r="E14" s="21" t="s">
        <v>634</v>
      </c>
      <c r="F14" s="21" t="s">
        <v>634</v>
      </c>
      <c r="G14" s="21" t="s">
        <v>634</v>
      </c>
      <c r="H14" s="21" t="s">
        <v>634</v>
      </c>
      <c r="I14" s="21" t="s">
        <v>634</v>
      </c>
      <c r="J14" s="21" t="s">
        <v>634</v>
      </c>
      <c r="K14" s="21" t="s">
        <v>634</v>
      </c>
      <c r="L14" s="21" t="s">
        <v>634</v>
      </c>
      <c r="M14" s="21" t="s">
        <v>634</v>
      </c>
      <c r="N14" s="21" t="s">
        <v>634</v>
      </c>
      <c r="O14" s="21" t="s">
        <v>634</v>
      </c>
      <c r="P14" s="21" t="s">
        <v>634</v>
      </c>
      <c r="Q14" s="21" t="s">
        <v>634</v>
      </c>
      <c r="R14" s="21" t="s">
        <v>634</v>
      </c>
    </row>
    <row r="15" spans="1:18" x14ac:dyDescent="0.3">
      <c r="A15" s="21"/>
      <c r="B15" s="21"/>
      <c r="C15" s="21" t="s">
        <v>448</v>
      </c>
      <c r="D15" s="21"/>
      <c r="E15" s="21"/>
      <c r="F15" s="21"/>
      <c r="G15" s="21"/>
      <c r="H15" s="21"/>
      <c r="I15" s="21"/>
      <c r="J15" s="21"/>
      <c r="K15" s="21"/>
      <c r="L15" s="21"/>
      <c r="M15" s="21"/>
      <c r="N15" s="21"/>
      <c r="O15" s="21"/>
      <c r="P15" s="21"/>
      <c r="Q15" s="21"/>
      <c r="R15" s="21"/>
    </row>
    <row r="16" spans="1:18" x14ac:dyDescent="0.3">
      <c r="A16" s="20" t="s">
        <v>634</v>
      </c>
      <c r="B16" s="20" t="s">
        <v>634</v>
      </c>
      <c r="C16" s="20" t="s">
        <v>641</v>
      </c>
      <c r="D16" s="20" t="s">
        <v>634</v>
      </c>
      <c r="E16" s="20" t="s">
        <v>634</v>
      </c>
      <c r="F16" s="20" t="s">
        <v>634</v>
      </c>
      <c r="G16" s="20" t="s">
        <v>634</v>
      </c>
      <c r="H16" s="20" t="s">
        <v>634</v>
      </c>
      <c r="I16" s="20" t="s">
        <v>634</v>
      </c>
      <c r="J16" s="20" t="s">
        <v>634</v>
      </c>
      <c r="K16" s="20" t="s">
        <v>634</v>
      </c>
      <c r="L16" s="20" t="s">
        <v>634</v>
      </c>
      <c r="M16" s="20" t="s">
        <v>634</v>
      </c>
      <c r="N16" s="20" t="s">
        <v>634</v>
      </c>
      <c r="O16" s="20" t="s">
        <v>634</v>
      </c>
      <c r="P16" s="20" t="s">
        <v>634</v>
      </c>
      <c r="Q16" s="20" t="s">
        <v>634</v>
      </c>
      <c r="R16" s="20" t="s">
        <v>634</v>
      </c>
    </row>
    <row r="17" spans="1:18" x14ac:dyDescent="0.3">
      <c r="A17" s="21" t="s">
        <v>634</v>
      </c>
      <c r="B17" s="21" t="s">
        <v>634</v>
      </c>
      <c r="C17" s="21" t="s">
        <v>642</v>
      </c>
      <c r="D17" s="21" t="s">
        <v>634</v>
      </c>
      <c r="E17" s="21" t="s">
        <v>634</v>
      </c>
      <c r="F17" s="21" t="s">
        <v>634</v>
      </c>
      <c r="G17" s="21" t="s">
        <v>634</v>
      </c>
      <c r="H17" s="21" t="s">
        <v>634</v>
      </c>
      <c r="I17" s="21" t="s">
        <v>634</v>
      </c>
      <c r="J17" s="21" t="s">
        <v>634</v>
      </c>
      <c r="K17" s="21" t="s">
        <v>634</v>
      </c>
      <c r="L17" s="21" t="s">
        <v>634</v>
      </c>
      <c r="M17" s="21" t="s">
        <v>634</v>
      </c>
      <c r="N17" s="21" t="s">
        <v>634</v>
      </c>
      <c r="O17" s="21" t="s">
        <v>634</v>
      </c>
      <c r="P17" s="21" t="s">
        <v>634</v>
      </c>
      <c r="Q17" s="21" t="s">
        <v>634</v>
      </c>
      <c r="R17" s="21" t="s">
        <v>634</v>
      </c>
    </row>
    <row r="18" spans="1:18" x14ac:dyDescent="0.3">
      <c r="A18" s="20" t="s">
        <v>634</v>
      </c>
      <c r="B18" s="20" t="s">
        <v>634</v>
      </c>
      <c r="C18" s="20" t="s">
        <v>643</v>
      </c>
      <c r="D18" s="20" t="s">
        <v>634</v>
      </c>
      <c r="E18" s="20" t="s">
        <v>634</v>
      </c>
      <c r="F18" s="20" t="s">
        <v>634</v>
      </c>
      <c r="G18" s="20" t="s">
        <v>634</v>
      </c>
      <c r="H18" s="20" t="s">
        <v>634</v>
      </c>
      <c r="I18" s="20" t="s">
        <v>634</v>
      </c>
      <c r="J18" s="20" t="s">
        <v>634</v>
      </c>
      <c r="K18" s="20" t="s">
        <v>634</v>
      </c>
      <c r="L18" s="20" t="s">
        <v>634</v>
      </c>
      <c r="M18" s="20" t="s">
        <v>634</v>
      </c>
      <c r="N18" s="20" t="s">
        <v>634</v>
      </c>
      <c r="O18" s="20" t="s">
        <v>634</v>
      </c>
      <c r="P18" s="20" t="s">
        <v>634</v>
      </c>
      <c r="Q18" s="20" t="s">
        <v>634</v>
      </c>
      <c r="R18" s="20" t="s">
        <v>634</v>
      </c>
    </row>
    <row r="19" spans="1:18" x14ac:dyDescent="0.3">
      <c r="A19" s="21" t="s">
        <v>634</v>
      </c>
      <c r="B19" s="21" t="s">
        <v>634</v>
      </c>
      <c r="C19" s="21" t="s">
        <v>644</v>
      </c>
      <c r="D19" s="21" t="s">
        <v>645</v>
      </c>
      <c r="E19" s="21" t="s">
        <v>634</v>
      </c>
      <c r="F19" s="21" t="s">
        <v>634</v>
      </c>
      <c r="G19" s="21" t="s">
        <v>634</v>
      </c>
      <c r="H19" s="21" t="s">
        <v>634</v>
      </c>
      <c r="I19" s="21" t="s">
        <v>634</v>
      </c>
      <c r="J19" s="21" t="s">
        <v>634</v>
      </c>
      <c r="K19" s="21" t="s">
        <v>634</v>
      </c>
      <c r="L19" s="21" t="s">
        <v>634</v>
      </c>
      <c r="M19" s="21" t="s">
        <v>634</v>
      </c>
      <c r="N19" s="21" t="s">
        <v>634</v>
      </c>
      <c r="O19" s="21" t="s">
        <v>634</v>
      </c>
      <c r="P19" s="21" t="s">
        <v>634</v>
      </c>
      <c r="Q19" s="21" t="s">
        <v>634</v>
      </c>
      <c r="R19" s="21" t="s">
        <v>634</v>
      </c>
    </row>
    <row r="20" spans="1:18" x14ac:dyDescent="0.3">
      <c r="A20" s="20" t="s">
        <v>634</v>
      </c>
      <c r="B20" s="20" t="s">
        <v>634</v>
      </c>
      <c r="C20" s="20" t="s">
        <v>634</v>
      </c>
      <c r="D20" s="20" t="s">
        <v>646</v>
      </c>
      <c r="E20" s="20" t="s">
        <v>634</v>
      </c>
      <c r="F20" s="20" t="s">
        <v>634</v>
      </c>
      <c r="G20" s="20" t="s">
        <v>634</v>
      </c>
      <c r="H20" s="20" t="s">
        <v>634</v>
      </c>
      <c r="I20" s="20" t="s">
        <v>634</v>
      </c>
      <c r="J20" s="20" t="s">
        <v>634</v>
      </c>
      <c r="K20" s="20" t="s">
        <v>634</v>
      </c>
      <c r="L20" s="20" t="s">
        <v>634</v>
      </c>
      <c r="M20" s="20" t="s">
        <v>634</v>
      </c>
      <c r="N20" s="20" t="s">
        <v>634</v>
      </c>
      <c r="O20" s="20" t="s">
        <v>634</v>
      </c>
      <c r="P20" s="20" t="s">
        <v>634</v>
      </c>
      <c r="Q20" s="20" t="s">
        <v>634</v>
      </c>
      <c r="R20" s="20" t="s">
        <v>634</v>
      </c>
    </row>
    <row r="21" spans="1:18" x14ac:dyDescent="0.3">
      <c r="A21" s="21" t="s">
        <v>634</v>
      </c>
      <c r="B21" s="21" t="s">
        <v>634</v>
      </c>
      <c r="C21" s="21" t="s">
        <v>634</v>
      </c>
      <c r="D21" s="21" t="s">
        <v>647</v>
      </c>
      <c r="E21" s="21" t="s">
        <v>634</v>
      </c>
      <c r="F21" s="21" t="s">
        <v>634</v>
      </c>
      <c r="G21" s="21" t="s">
        <v>634</v>
      </c>
      <c r="H21" s="21" t="s">
        <v>634</v>
      </c>
      <c r="I21" s="21" t="s">
        <v>634</v>
      </c>
      <c r="J21" s="21" t="s">
        <v>634</v>
      </c>
      <c r="K21" s="21" t="s">
        <v>634</v>
      </c>
      <c r="L21" s="21" t="s">
        <v>634</v>
      </c>
      <c r="M21" s="21" t="s">
        <v>634</v>
      </c>
      <c r="N21" s="21" t="s">
        <v>634</v>
      </c>
      <c r="O21" s="21" t="s">
        <v>634</v>
      </c>
      <c r="P21" s="21" t="s">
        <v>634</v>
      </c>
      <c r="Q21" s="21" t="s">
        <v>634</v>
      </c>
      <c r="R21" s="21" t="s">
        <v>634</v>
      </c>
    </row>
    <row r="22" spans="1:18" x14ac:dyDescent="0.3">
      <c r="A22" s="21"/>
      <c r="B22" s="21"/>
      <c r="C22" s="21"/>
      <c r="D22" s="20" t="s">
        <v>648</v>
      </c>
      <c r="E22" s="21"/>
      <c r="F22" s="21"/>
      <c r="G22" s="21"/>
      <c r="H22" s="21"/>
      <c r="I22" s="21"/>
      <c r="J22" s="21"/>
      <c r="K22" s="21"/>
      <c r="L22" s="21"/>
      <c r="M22" s="21"/>
      <c r="N22" s="21"/>
      <c r="O22" s="21"/>
      <c r="P22" s="21"/>
      <c r="Q22" s="21"/>
      <c r="R22" s="21"/>
    </row>
    <row r="23" spans="1:18" x14ac:dyDescent="0.3">
      <c r="A23" s="20"/>
      <c r="B23" s="20" t="s">
        <v>634</v>
      </c>
      <c r="C23" s="20" t="s">
        <v>634</v>
      </c>
      <c r="D23" s="30" t="s">
        <v>649</v>
      </c>
      <c r="E23" s="20" t="s">
        <v>634</v>
      </c>
      <c r="F23" s="20" t="s">
        <v>634</v>
      </c>
      <c r="G23" s="20" t="s">
        <v>634</v>
      </c>
      <c r="H23" s="20" t="s">
        <v>634</v>
      </c>
      <c r="I23" s="20" t="s">
        <v>634</v>
      </c>
      <c r="J23" s="20" t="s">
        <v>634</v>
      </c>
      <c r="K23" s="20" t="s">
        <v>634</v>
      </c>
      <c r="L23" s="20" t="s">
        <v>634</v>
      </c>
      <c r="M23" s="20" t="s">
        <v>634</v>
      </c>
      <c r="N23" s="20" t="s">
        <v>634</v>
      </c>
      <c r="O23" s="20" t="s">
        <v>634</v>
      </c>
      <c r="P23" s="20" t="s">
        <v>634</v>
      </c>
      <c r="Q23" s="20" t="s">
        <v>634</v>
      </c>
      <c r="R23" s="20" t="s">
        <v>634</v>
      </c>
    </row>
    <row r="24" spans="1:18" x14ac:dyDescent="0.3">
      <c r="A24" s="21" t="s">
        <v>650</v>
      </c>
      <c r="B24" s="21" t="s">
        <v>634</v>
      </c>
      <c r="C24" s="21" t="s">
        <v>634</v>
      </c>
      <c r="D24" s="21" t="s">
        <v>634</v>
      </c>
      <c r="E24" s="21" t="s">
        <v>634</v>
      </c>
      <c r="F24" s="21" t="s">
        <v>634</v>
      </c>
      <c r="G24" s="21" t="s">
        <v>634</v>
      </c>
      <c r="H24" s="21" t="s">
        <v>634</v>
      </c>
      <c r="I24" s="21" t="s">
        <v>634</v>
      </c>
      <c r="J24" s="21" t="s">
        <v>634</v>
      </c>
      <c r="K24" s="21" t="s">
        <v>634</v>
      </c>
      <c r="L24" s="21" t="s">
        <v>634</v>
      </c>
      <c r="M24" s="21" t="s">
        <v>634</v>
      </c>
      <c r="N24" s="21" t="s">
        <v>634</v>
      </c>
      <c r="O24" s="21" t="s">
        <v>634</v>
      </c>
      <c r="P24" s="21" t="s">
        <v>634</v>
      </c>
      <c r="Q24" s="21" t="s">
        <v>634</v>
      </c>
      <c r="R24" s="21" t="s">
        <v>634</v>
      </c>
    </row>
    <row r="25" spans="1:18" x14ac:dyDescent="0.3">
      <c r="A25" s="20" t="s">
        <v>634</v>
      </c>
      <c r="B25" s="20" t="s">
        <v>651</v>
      </c>
      <c r="C25" s="20" t="s">
        <v>634</v>
      </c>
      <c r="D25" s="20" t="s">
        <v>634</v>
      </c>
      <c r="E25" s="20" t="s">
        <v>634</v>
      </c>
      <c r="F25" s="20" t="s">
        <v>634</v>
      </c>
      <c r="G25" s="20" t="s">
        <v>634</v>
      </c>
      <c r="H25" s="20" t="s">
        <v>634</v>
      </c>
      <c r="I25" s="20" t="s">
        <v>634</v>
      </c>
      <c r="J25" s="20" t="s">
        <v>634</v>
      </c>
      <c r="K25" s="20" t="s">
        <v>634</v>
      </c>
      <c r="L25" s="20" t="s">
        <v>634</v>
      </c>
      <c r="M25" s="20" t="s">
        <v>634</v>
      </c>
      <c r="N25" s="20" t="s">
        <v>634</v>
      </c>
      <c r="O25" s="20" t="s">
        <v>634</v>
      </c>
      <c r="P25" s="20" t="s">
        <v>634</v>
      </c>
      <c r="Q25" s="20" t="s">
        <v>634</v>
      </c>
      <c r="R25" s="20" t="s">
        <v>634</v>
      </c>
    </row>
    <row r="26" spans="1:18" x14ac:dyDescent="0.3">
      <c r="A26" s="21" t="s">
        <v>634</v>
      </c>
      <c r="B26" s="21" t="s">
        <v>634</v>
      </c>
      <c r="C26" s="21" t="s">
        <v>16</v>
      </c>
      <c r="D26" s="21" t="s">
        <v>634</v>
      </c>
      <c r="E26" s="21" t="s">
        <v>634</v>
      </c>
      <c r="F26" s="21" t="s">
        <v>634</v>
      </c>
      <c r="G26" s="21" t="s">
        <v>634</v>
      </c>
      <c r="H26" s="21" t="s">
        <v>634</v>
      </c>
      <c r="I26" s="21" t="s">
        <v>634</v>
      </c>
      <c r="J26" s="21" t="s">
        <v>634</v>
      </c>
      <c r="K26" s="21" t="s">
        <v>634</v>
      </c>
      <c r="L26" s="21" t="s">
        <v>634</v>
      </c>
      <c r="M26" s="21" t="s">
        <v>634</v>
      </c>
      <c r="N26" s="21" t="s">
        <v>634</v>
      </c>
      <c r="O26" s="21" t="s">
        <v>634</v>
      </c>
      <c r="P26" s="21" t="s">
        <v>634</v>
      </c>
      <c r="Q26" s="21" t="s">
        <v>634</v>
      </c>
      <c r="R26" s="21" t="s">
        <v>634</v>
      </c>
    </row>
    <row r="27" spans="1:18" x14ac:dyDescent="0.3">
      <c r="A27" s="20" t="s">
        <v>634</v>
      </c>
      <c r="B27" s="20" t="s">
        <v>634</v>
      </c>
      <c r="C27" s="20" t="s">
        <v>641</v>
      </c>
      <c r="D27" s="20" t="s">
        <v>634</v>
      </c>
      <c r="E27" s="20" t="s">
        <v>634</v>
      </c>
      <c r="F27" s="20" t="s">
        <v>634</v>
      </c>
      <c r="G27" s="20" t="s">
        <v>634</v>
      </c>
      <c r="H27" s="20" t="s">
        <v>634</v>
      </c>
      <c r="I27" s="20" t="s">
        <v>634</v>
      </c>
      <c r="J27" s="20" t="s">
        <v>634</v>
      </c>
      <c r="K27" s="20" t="s">
        <v>634</v>
      </c>
      <c r="L27" s="20" t="s">
        <v>634</v>
      </c>
      <c r="M27" s="20" t="s">
        <v>634</v>
      </c>
      <c r="N27" s="20" t="s">
        <v>634</v>
      </c>
      <c r="O27" s="20" t="s">
        <v>634</v>
      </c>
      <c r="P27" s="20" t="s">
        <v>634</v>
      </c>
      <c r="Q27" s="20" t="s">
        <v>634</v>
      </c>
      <c r="R27" s="20" t="s">
        <v>634</v>
      </c>
    </row>
    <row r="28" spans="1:18" x14ac:dyDescent="0.3">
      <c r="A28" s="21" t="s">
        <v>634</v>
      </c>
      <c r="B28" s="21" t="s">
        <v>634</v>
      </c>
      <c r="C28" s="21" t="s">
        <v>642</v>
      </c>
      <c r="D28" s="21" t="s">
        <v>634</v>
      </c>
      <c r="E28" s="21" t="s">
        <v>634</v>
      </c>
      <c r="F28" s="21" t="s">
        <v>634</v>
      </c>
      <c r="G28" s="21" t="s">
        <v>634</v>
      </c>
      <c r="H28" s="21" t="s">
        <v>634</v>
      </c>
      <c r="I28" s="21" t="s">
        <v>634</v>
      </c>
      <c r="J28" s="21" t="s">
        <v>634</v>
      </c>
      <c r="K28" s="21" t="s">
        <v>634</v>
      </c>
      <c r="L28" s="21" t="s">
        <v>634</v>
      </c>
      <c r="M28" s="21" t="s">
        <v>634</v>
      </c>
      <c r="N28" s="21" t="s">
        <v>634</v>
      </c>
      <c r="O28" s="21" t="s">
        <v>634</v>
      </c>
      <c r="P28" s="21" t="s">
        <v>634</v>
      </c>
      <c r="Q28" s="21" t="s">
        <v>634</v>
      </c>
      <c r="R28" s="21" t="s">
        <v>634</v>
      </c>
    </row>
    <row r="29" spans="1:18" x14ac:dyDescent="0.3">
      <c r="A29" s="20" t="s">
        <v>634</v>
      </c>
      <c r="B29" s="20" t="s">
        <v>634</v>
      </c>
      <c r="C29" s="20" t="s">
        <v>652</v>
      </c>
      <c r="D29" s="20" t="s">
        <v>634</v>
      </c>
      <c r="E29" s="20" t="s">
        <v>634</v>
      </c>
      <c r="F29" s="20" t="s">
        <v>634</v>
      </c>
      <c r="G29" s="20" t="s">
        <v>634</v>
      </c>
      <c r="H29" s="20" t="s">
        <v>634</v>
      </c>
      <c r="I29" s="20" t="s">
        <v>634</v>
      </c>
      <c r="J29" s="20" t="s">
        <v>634</v>
      </c>
      <c r="K29" s="20" t="s">
        <v>634</v>
      </c>
      <c r="L29" s="20" t="s">
        <v>634</v>
      </c>
      <c r="M29" s="20" t="s">
        <v>634</v>
      </c>
      <c r="N29" s="20" t="s">
        <v>634</v>
      </c>
      <c r="O29" s="20" t="s">
        <v>634</v>
      </c>
      <c r="P29" s="20" t="s">
        <v>634</v>
      </c>
      <c r="Q29" s="20" t="s">
        <v>634</v>
      </c>
      <c r="R29" s="20" t="s">
        <v>634</v>
      </c>
    </row>
    <row r="30" spans="1:18" x14ac:dyDescent="0.3">
      <c r="A30" s="21" t="s">
        <v>634</v>
      </c>
      <c r="B30" s="21" t="s">
        <v>634</v>
      </c>
      <c r="C30" s="21" t="s">
        <v>653</v>
      </c>
      <c r="D30" s="21" t="s">
        <v>634</v>
      </c>
      <c r="E30" s="21" t="s">
        <v>634</v>
      </c>
      <c r="F30" s="21" t="s">
        <v>634</v>
      </c>
      <c r="G30" s="21" t="s">
        <v>634</v>
      </c>
      <c r="H30" s="21" t="s">
        <v>634</v>
      </c>
      <c r="I30" s="21" t="s">
        <v>634</v>
      </c>
      <c r="J30" s="21" t="s">
        <v>634</v>
      </c>
      <c r="K30" s="21" t="s">
        <v>634</v>
      </c>
      <c r="L30" s="21" t="s">
        <v>634</v>
      </c>
      <c r="M30" s="21" t="s">
        <v>634</v>
      </c>
      <c r="N30" s="21" t="s">
        <v>634</v>
      </c>
      <c r="O30" s="21" t="s">
        <v>634</v>
      </c>
      <c r="P30" s="21" t="s">
        <v>634</v>
      </c>
      <c r="Q30" s="21" t="s">
        <v>634</v>
      </c>
      <c r="R30" s="21" t="s">
        <v>634</v>
      </c>
    </row>
    <row r="31" spans="1:18" x14ac:dyDescent="0.3">
      <c r="A31" s="20" t="s">
        <v>634</v>
      </c>
      <c r="B31" s="20" t="s">
        <v>654</v>
      </c>
      <c r="C31" s="20" t="s">
        <v>634</v>
      </c>
      <c r="D31" s="20" t="s">
        <v>634</v>
      </c>
      <c r="E31" s="20" t="s">
        <v>634</v>
      </c>
      <c r="F31" s="20" t="s">
        <v>634</v>
      </c>
      <c r="G31" s="20" t="s">
        <v>634</v>
      </c>
      <c r="H31" s="20" t="s">
        <v>634</v>
      </c>
      <c r="I31" s="20" t="s">
        <v>634</v>
      </c>
      <c r="J31" s="20" t="s">
        <v>634</v>
      </c>
      <c r="K31" s="20" t="s">
        <v>634</v>
      </c>
      <c r="L31" s="20" t="s">
        <v>634</v>
      </c>
      <c r="M31" s="20" t="s">
        <v>634</v>
      </c>
      <c r="N31" s="20" t="s">
        <v>634</v>
      </c>
      <c r="O31" s="20" t="s">
        <v>634</v>
      </c>
      <c r="P31" s="20" t="s">
        <v>634</v>
      </c>
      <c r="Q31" s="20" t="s">
        <v>634</v>
      </c>
      <c r="R31" s="20" t="s">
        <v>634</v>
      </c>
    </row>
    <row r="32" spans="1:18" x14ac:dyDescent="0.3">
      <c r="A32" s="21" t="s">
        <v>634</v>
      </c>
      <c r="B32" s="21" t="s">
        <v>634</v>
      </c>
      <c r="C32" s="21" t="s">
        <v>16</v>
      </c>
      <c r="D32" s="21" t="s">
        <v>634</v>
      </c>
      <c r="E32" s="21" t="s">
        <v>634</v>
      </c>
      <c r="F32" s="21" t="s">
        <v>634</v>
      </c>
      <c r="G32" s="21" t="s">
        <v>634</v>
      </c>
      <c r="H32" s="21" t="s">
        <v>634</v>
      </c>
      <c r="I32" s="21" t="s">
        <v>634</v>
      </c>
      <c r="J32" s="21" t="s">
        <v>634</v>
      </c>
      <c r="K32" s="21" t="s">
        <v>634</v>
      </c>
      <c r="L32" s="21" t="s">
        <v>634</v>
      </c>
      <c r="M32" s="21" t="s">
        <v>634</v>
      </c>
      <c r="N32" s="21" t="s">
        <v>634</v>
      </c>
      <c r="O32" s="21" t="s">
        <v>634</v>
      </c>
      <c r="P32" s="21" t="s">
        <v>634</v>
      </c>
      <c r="Q32" s="21" t="s">
        <v>634</v>
      </c>
      <c r="R32" s="21" t="s">
        <v>634</v>
      </c>
    </row>
    <row r="33" spans="1:18" x14ac:dyDescent="0.3">
      <c r="A33" s="20" t="s">
        <v>634</v>
      </c>
      <c r="B33" s="20" t="s">
        <v>634</v>
      </c>
      <c r="C33" s="20" t="s">
        <v>641</v>
      </c>
      <c r="D33" s="20" t="s">
        <v>634</v>
      </c>
      <c r="E33" s="20" t="s">
        <v>634</v>
      </c>
      <c r="F33" s="20" t="s">
        <v>634</v>
      </c>
      <c r="G33" s="20" t="s">
        <v>634</v>
      </c>
      <c r="H33" s="20" t="s">
        <v>634</v>
      </c>
      <c r="I33" s="20" t="s">
        <v>634</v>
      </c>
      <c r="J33" s="20" t="s">
        <v>634</v>
      </c>
      <c r="K33" s="20" t="s">
        <v>634</v>
      </c>
      <c r="L33" s="20" t="s">
        <v>634</v>
      </c>
      <c r="M33" s="20" t="s">
        <v>634</v>
      </c>
      <c r="N33" s="20" t="s">
        <v>634</v>
      </c>
      <c r="O33" s="20" t="s">
        <v>634</v>
      </c>
      <c r="P33" s="20" t="s">
        <v>634</v>
      </c>
      <c r="Q33" s="20" t="s">
        <v>634</v>
      </c>
      <c r="R33" s="20" t="s">
        <v>634</v>
      </c>
    </row>
    <row r="34" spans="1:18" x14ac:dyDescent="0.3">
      <c r="A34" s="21" t="s">
        <v>634</v>
      </c>
      <c r="B34" s="21" t="s">
        <v>634</v>
      </c>
      <c r="C34" s="21" t="s">
        <v>642</v>
      </c>
      <c r="D34" s="21" t="s">
        <v>634</v>
      </c>
      <c r="E34" s="21" t="s">
        <v>634</v>
      </c>
      <c r="F34" s="21" t="s">
        <v>634</v>
      </c>
      <c r="G34" s="21" t="s">
        <v>634</v>
      </c>
      <c r="H34" s="21" t="s">
        <v>634</v>
      </c>
      <c r="I34" s="21" t="s">
        <v>634</v>
      </c>
      <c r="J34" s="21" t="s">
        <v>634</v>
      </c>
      <c r="K34" s="21" t="s">
        <v>634</v>
      </c>
      <c r="L34" s="21" t="s">
        <v>634</v>
      </c>
      <c r="M34" s="21" t="s">
        <v>634</v>
      </c>
      <c r="N34" s="21" t="s">
        <v>634</v>
      </c>
      <c r="O34" s="21" t="s">
        <v>634</v>
      </c>
      <c r="P34" s="21" t="s">
        <v>634</v>
      </c>
      <c r="Q34" s="21" t="s">
        <v>634</v>
      </c>
      <c r="R34" s="21" t="s">
        <v>634</v>
      </c>
    </row>
    <row r="35" spans="1:18" x14ac:dyDescent="0.3">
      <c r="A35" s="20" t="s">
        <v>634</v>
      </c>
      <c r="B35" s="20" t="s">
        <v>634</v>
      </c>
      <c r="C35" s="20" t="s">
        <v>655</v>
      </c>
      <c r="D35" s="20" t="s">
        <v>634</v>
      </c>
      <c r="E35" s="20" t="s">
        <v>634</v>
      </c>
      <c r="F35" s="20" t="s">
        <v>634</v>
      </c>
      <c r="G35" s="20" t="s">
        <v>634</v>
      </c>
      <c r="H35" s="20" t="s">
        <v>634</v>
      </c>
      <c r="I35" s="20" t="s">
        <v>634</v>
      </c>
      <c r="J35" s="20" t="s">
        <v>634</v>
      </c>
      <c r="K35" s="20" t="s">
        <v>634</v>
      </c>
      <c r="L35" s="20" t="s">
        <v>634</v>
      </c>
      <c r="M35" s="20" t="s">
        <v>634</v>
      </c>
      <c r="N35" s="20" t="s">
        <v>634</v>
      </c>
      <c r="O35" s="20" t="s">
        <v>634</v>
      </c>
      <c r="P35" s="20" t="s">
        <v>634</v>
      </c>
      <c r="Q35" s="20" t="s">
        <v>634</v>
      </c>
      <c r="R35" s="20" t="s">
        <v>634</v>
      </c>
    </row>
    <row r="36" spans="1:18" x14ac:dyDescent="0.3">
      <c r="A36" s="21" t="s">
        <v>634</v>
      </c>
      <c r="B36" s="21" t="s">
        <v>634</v>
      </c>
      <c r="C36" s="21" t="s">
        <v>656</v>
      </c>
      <c r="D36" s="21" t="s">
        <v>657</v>
      </c>
      <c r="E36" s="21" t="s">
        <v>634</v>
      </c>
      <c r="F36" s="21" t="s">
        <v>634</v>
      </c>
      <c r="G36" s="21" t="s">
        <v>634</v>
      </c>
      <c r="H36" s="21" t="s">
        <v>634</v>
      </c>
      <c r="I36" s="21" t="s">
        <v>634</v>
      </c>
      <c r="J36" s="21" t="s">
        <v>634</v>
      </c>
      <c r="K36" s="21" t="s">
        <v>634</v>
      </c>
      <c r="L36" s="21" t="s">
        <v>634</v>
      </c>
      <c r="M36" s="21" t="s">
        <v>634</v>
      </c>
      <c r="N36" s="21" t="s">
        <v>634</v>
      </c>
      <c r="O36" s="21" t="s">
        <v>634</v>
      </c>
      <c r="P36" s="21" t="s">
        <v>634</v>
      </c>
      <c r="Q36" s="21" t="s">
        <v>634</v>
      </c>
      <c r="R36" s="21" t="s">
        <v>634</v>
      </c>
    </row>
    <row r="37" spans="1:18" x14ac:dyDescent="0.3">
      <c r="A37" s="20" t="s">
        <v>634</v>
      </c>
      <c r="B37" s="20" t="s">
        <v>634</v>
      </c>
      <c r="C37" s="20" t="s">
        <v>634</v>
      </c>
      <c r="D37" s="20" t="s">
        <v>594</v>
      </c>
      <c r="E37" s="20" t="s">
        <v>634</v>
      </c>
      <c r="F37" s="20" t="s">
        <v>634</v>
      </c>
      <c r="G37" s="20" t="s">
        <v>634</v>
      </c>
      <c r="H37" s="20" t="s">
        <v>634</v>
      </c>
      <c r="I37" s="20" t="s">
        <v>634</v>
      </c>
      <c r="J37" s="20" t="s">
        <v>634</v>
      </c>
      <c r="K37" s="20" t="s">
        <v>634</v>
      </c>
      <c r="L37" s="20" t="s">
        <v>634</v>
      </c>
      <c r="M37" s="20" t="s">
        <v>634</v>
      </c>
      <c r="N37" s="20" t="s">
        <v>634</v>
      </c>
      <c r="O37" s="20" t="s">
        <v>634</v>
      </c>
      <c r="P37" s="20" t="s">
        <v>634</v>
      </c>
      <c r="Q37" s="20" t="s">
        <v>634</v>
      </c>
      <c r="R37" s="20" t="s">
        <v>634</v>
      </c>
    </row>
    <row r="38" spans="1:18" x14ac:dyDescent="0.3">
      <c r="A38" s="20"/>
      <c r="B38" s="20"/>
      <c r="C38" s="20"/>
      <c r="D38" s="20" t="s">
        <v>649</v>
      </c>
      <c r="E38" s="20"/>
      <c r="F38" s="20"/>
      <c r="G38" s="20"/>
      <c r="H38" s="20"/>
      <c r="I38" s="20"/>
      <c r="J38" s="20"/>
      <c r="K38" s="20"/>
      <c r="L38" s="20"/>
      <c r="M38" s="20"/>
      <c r="N38" s="20"/>
      <c r="O38" s="20"/>
      <c r="P38" s="20"/>
      <c r="Q38" s="20"/>
      <c r="R38" s="20"/>
    </row>
    <row r="39" spans="1:18" x14ac:dyDescent="0.3">
      <c r="A39" s="21" t="s">
        <v>634</v>
      </c>
      <c r="B39" s="21" t="s">
        <v>634</v>
      </c>
      <c r="C39" s="21" t="s">
        <v>658</v>
      </c>
      <c r="D39" s="21" t="s">
        <v>634</v>
      </c>
      <c r="E39" s="21" t="s">
        <v>634</v>
      </c>
      <c r="F39" s="21" t="s">
        <v>634</v>
      </c>
      <c r="G39" s="21" t="s">
        <v>634</v>
      </c>
      <c r="H39" s="21" t="s">
        <v>634</v>
      </c>
      <c r="I39" s="21" t="s">
        <v>634</v>
      </c>
      <c r="J39" s="21" t="s">
        <v>634</v>
      </c>
      <c r="K39" s="21" t="s">
        <v>634</v>
      </c>
      <c r="L39" s="21" t="s">
        <v>634</v>
      </c>
      <c r="M39" s="21" t="s">
        <v>634</v>
      </c>
      <c r="N39" s="21" t="s">
        <v>634</v>
      </c>
      <c r="O39" s="21" t="s">
        <v>634</v>
      </c>
      <c r="P39" s="21" t="s">
        <v>634</v>
      </c>
      <c r="Q39" s="21" t="s">
        <v>634</v>
      </c>
      <c r="R39" s="21" t="s">
        <v>634</v>
      </c>
    </row>
    <row r="40" spans="1:18" x14ac:dyDescent="0.3">
      <c r="A40" s="20" t="s">
        <v>634</v>
      </c>
      <c r="B40" s="20" t="s">
        <v>659</v>
      </c>
      <c r="C40" s="20" t="s">
        <v>634</v>
      </c>
      <c r="D40" s="20" t="s">
        <v>634</v>
      </c>
      <c r="E40" s="20" t="s">
        <v>634</v>
      </c>
      <c r="F40" s="20" t="s">
        <v>634</v>
      </c>
      <c r="G40" s="20" t="s">
        <v>634</v>
      </c>
      <c r="H40" s="20" t="s">
        <v>634</v>
      </c>
      <c r="I40" s="20" t="s">
        <v>634</v>
      </c>
      <c r="J40" s="20" t="s">
        <v>634</v>
      </c>
      <c r="K40" s="20" t="s">
        <v>634</v>
      </c>
      <c r="L40" s="20" t="s">
        <v>634</v>
      </c>
      <c r="M40" s="20" t="s">
        <v>634</v>
      </c>
      <c r="N40" s="20" t="s">
        <v>634</v>
      </c>
      <c r="O40" s="20" t="s">
        <v>634</v>
      </c>
      <c r="P40" s="20" t="s">
        <v>634</v>
      </c>
      <c r="Q40" s="20" t="s">
        <v>634</v>
      </c>
      <c r="R40" s="20" t="s">
        <v>634</v>
      </c>
    </row>
    <row r="41" spans="1:18" x14ac:dyDescent="0.3">
      <c r="A41" s="21" t="s">
        <v>634</v>
      </c>
      <c r="B41" s="21" t="s">
        <v>634</v>
      </c>
      <c r="C41" s="21" t="s">
        <v>16</v>
      </c>
      <c r="D41" s="21" t="s">
        <v>634</v>
      </c>
      <c r="E41" s="21" t="s">
        <v>634</v>
      </c>
      <c r="F41" s="21" t="s">
        <v>634</v>
      </c>
      <c r="G41" s="21" t="s">
        <v>634</v>
      </c>
      <c r="H41" s="21" t="s">
        <v>634</v>
      </c>
      <c r="I41" s="21" t="s">
        <v>634</v>
      </c>
      <c r="J41" s="21" t="s">
        <v>634</v>
      </c>
      <c r="K41" s="21" t="s">
        <v>634</v>
      </c>
      <c r="L41" s="21" t="s">
        <v>634</v>
      </c>
      <c r="M41" s="21" t="s">
        <v>634</v>
      </c>
      <c r="N41" s="21" t="s">
        <v>634</v>
      </c>
      <c r="O41" s="21" t="s">
        <v>634</v>
      </c>
      <c r="P41" s="21" t="s">
        <v>634</v>
      </c>
      <c r="Q41" s="21" t="s">
        <v>634</v>
      </c>
      <c r="R41" s="21" t="s">
        <v>634</v>
      </c>
    </row>
    <row r="42" spans="1:18" x14ac:dyDescent="0.3">
      <c r="A42" s="20" t="s">
        <v>634</v>
      </c>
      <c r="B42" s="20" t="s">
        <v>634</v>
      </c>
      <c r="C42" s="20" t="s">
        <v>641</v>
      </c>
      <c r="D42" s="20" t="s">
        <v>634</v>
      </c>
      <c r="E42" s="20" t="s">
        <v>634</v>
      </c>
      <c r="F42" s="20" t="s">
        <v>634</v>
      </c>
      <c r="G42" s="20" t="s">
        <v>634</v>
      </c>
      <c r="H42" s="20" t="s">
        <v>634</v>
      </c>
      <c r="I42" s="20" t="s">
        <v>634</v>
      </c>
      <c r="J42" s="20" t="s">
        <v>634</v>
      </c>
      <c r="K42" s="20" t="s">
        <v>634</v>
      </c>
      <c r="L42" s="20" t="s">
        <v>634</v>
      </c>
      <c r="M42" s="20" t="s">
        <v>634</v>
      </c>
      <c r="N42" s="20" t="s">
        <v>634</v>
      </c>
      <c r="O42" s="20" t="s">
        <v>634</v>
      </c>
      <c r="P42" s="20" t="s">
        <v>634</v>
      </c>
      <c r="Q42" s="20" t="s">
        <v>634</v>
      </c>
      <c r="R42" s="20" t="s">
        <v>634</v>
      </c>
    </row>
    <row r="43" spans="1:18" x14ac:dyDescent="0.3">
      <c r="A43" s="21" t="s">
        <v>634</v>
      </c>
      <c r="B43" s="21" t="s">
        <v>634</v>
      </c>
      <c r="C43" s="21" t="s">
        <v>642</v>
      </c>
      <c r="D43" s="21" t="s">
        <v>634</v>
      </c>
      <c r="E43" s="21" t="s">
        <v>634</v>
      </c>
      <c r="F43" s="21" t="s">
        <v>634</v>
      </c>
      <c r="G43" s="21" t="s">
        <v>634</v>
      </c>
      <c r="H43" s="21" t="s">
        <v>634</v>
      </c>
      <c r="I43" s="21" t="s">
        <v>634</v>
      </c>
      <c r="J43" s="21" t="s">
        <v>634</v>
      </c>
      <c r="K43" s="21" t="s">
        <v>634</v>
      </c>
      <c r="L43" s="21" t="s">
        <v>634</v>
      </c>
      <c r="M43" s="21" t="s">
        <v>634</v>
      </c>
      <c r="N43" s="21" t="s">
        <v>634</v>
      </c>
      <c r="O43" s="21" t="s">
        <v>634</v>
      </c>
      <c r="P43" s="21" t="s">
        <v>634</v>
      </c>
      <c r="Q43" s="21" t="s">
        <v>634</v>
      </c>
      <c r="R43" s="21" t="s">
        <v>634</v>
      </c>
    </row>
    <row r="44" spans="1:18" x14ac:dyDescent="0.3">
      <c r="A44" s="20" t="s">
        <v>634</v>
      </c>
      <c r="B44" s="20" t="s">
        <v>634</v>
      </c>
      <c r="C44" s="20" t="s">
        <v>660</v>
      </c>
      <c r="D44" s="20" t="s">
        <v>634</v>
      </c>
      <c r="E44" s="20" t="s">
        <v>634</v>
      </c>
      <c r="F44" s="20" t="s">
        <v>634</v>
      </c>
      <c r="G44" s="20" t="s">
        <v>634</v>
      </c>
      <c r="H44" s="20" t="s">
        <v>634</v>
      </c>
      <c r="I44" s="20" t="s">
        <v>634</v>
      </c>
      <c r="J44" s="20" t="s">
        <v>634</v>
      </c>
      <c r="K44" s="20" t="s">
        <v>634</v>
      </c>
      <c r="L44" s="20" t="s">
        <v>634</v>
      </c>
      <c r="M44" s="20" t="s">
        <v>634</v>
      </c>
      <c r="N44" s="20" t="s">
        <v>634</v>
      </c>
      <c r="O44" s="20" t="s">
        <v>634</v>
      </c>
      <c r="P44" s="20" t="s">
        <v>634</v>
      </c>
      <c r="Q44" s="20" t="s">
        <v>634</v>
      </c>
      <c r="R44" s="20" t="s">
        <v>634</v>
      </c>
    </row>
    <row r="45" spans="1:18" x14ac:dyDescent="0.3">
      <c r="A45" s="21" t="s">
        <v>634</v>
      </c>
      <c r="B45" s="21" t="s">
        <v>634</v>
      </c>
      <c r="C45" s="21" t="s">
        <v>661</v>
      </c>
      <c r="D45" s="21" t="s">
        <v>634</v>
      </c>
      <c r="E45" s="21" t="s">
        <v>634</v>
      </c>
      <c r="F45" s="21" t="s">
        <v>634</v>
      </c>
      <c r="G45" s="21" t="s">
        <v>634</v>
      </c>
      <c r="H45" s="21" t="s">
        <v>634</v>
      </c>
      <c r="I45" s="21" t="s">
        <v>634</v>
      </c>
      <c r="J45" s="21" t="s">
        <v>634</v>
      </c>
      <c r="K45" s="21" t="s">
        <v>634</v>
      </c>
      <c r="L45" s="21" t="s">
        <v>634</v>
      </c>
      <c r="M45" s="21" t="s">
        <v>634</v>
      </c>
      <c r="N45" s="21" t="s">
        <v>634</v>
      </c>
      <c r="O45" s="21" t="s">
        <v>634</v>
      </c>
      <c r="P45" s="21" t="s">
        <v>634</v>
      </c>
      <c r="Q45" s="21" t="s">
        <v>634</v>
      </c>
      <c r="R45" s="21" t="s">
        <v>634</v>
      </c>
    </row>
    <row r="46" spans="1:18" x14ac:dyDescent="0.3">
      <c r="A46" s="20" t="s">
        <v>634</v>
      </c>
      <c r="B46" s="20" t="s">
        <v>662</v>
      </c>
      <c r="C46" s="20" t="s">
        <v>634</v>
      </c>
      <c r="D46" s="20" t="s">
        <v>634</v>
      </c>
      <c r="E46" s="20" t="s">
        <v>634</v>
      </c>
      <c r="F46" s="20" t="s">
        <v>634</v>
      </c>
      <c r="G46" s="20" t="s">
        <v>634</v>
      </c>
      <c r="H46" s="20" t="s">
        <v>634</v>
      </c>
      <c r="I46" s="20" t="s">
        <v>634</v>
      </c>
      <c r="J46" s="20" t="s">
        <v>634</v>
      </c>
      <c r="K46" s="20" t="s">
        <v>634</v>
      </c>
      <c r="L46" s="20" t="s">
        <v>634</v>
      </c>
      <c r="M46" s="20" t="s">
        <v>634</v>
      </c>
      <c r="N46" s="20" t="s">
        <v>634</v>
      </c>
      <c r="O46" s="20" t="s">
        <v>634</v>
      </c>
      <c r="P46" s="20" t="s">
        <v>634</v>
      </c>
      <c r="Q46" s="20" t="s">
        <v>634</v>
      </c>
      <c r="R46" s="20" t="s">
        <v>634</v>
      </c>
    </row>
    <row r="47" spans="1:18" x14ac:dyDescent="0.3">
      <c r="A47" s="21" t="s">
        <v>634</v>
      </c>
      <c r="B47" s="21" t="s">
        <v>634</v>
      </c>
      <c r="C47" s="21" t="s">
        <v>16</v>
      </c>
      <c r="D47" s="21" t="s">
        <v>634</v>
      </c>
      <c r="E47" s="21" t="s">
        <v>634</v>
      </c>
      <c r="F47" s="21" t="s">
        <v>634</v>
      </c>
      <c r="G47" s="21" t="s">
        <v>634</v>
      </c>
      <c r="H47" s="21" t="s">
        <v>634</v>
      </c>
      <c r="I47" s="21" t="s">
        <v>634</v>
      </c>
      <c r="J47" s="21" t="s">
        <v>634</v>
      </c>
      <c r="K47" s="21" t="s">
        <v>634</v>
      </c>
      <c r="L47" s="21" t="s">
        <v>634</v>
      </c>
      <c r="M47" s="21" t="s">
        <v>634</v>
      </c>
      <c r="N47" s="21" t="s">
        <v>634</v>
      </c>
      <c r="O47" s="21" t="s">
        <v>634</v>
      </c>
      <c r="P47" s="21" t="s">
        <v>634</v>
      </c>
      <c r="Q47" s="21" t="s">
        <v>634</v>
      </c>
      <c r="R47" s="21" t="s">
        <v>634</v>
      </c>
    </row>
    <row r="48" spans="1:18" x14ac:dyDescent="0.3">
      <c r="A48" s="20" t="s">
        <v>634</v>
      </c>
      <c r="B48" s="20" t="s">
        <v>634</v>
      </c>
      <c r="C48" s="20" t="s">
        <v>641</v>
      </c>
      <c r="D48" s="20" t="s">
        <v>634</v>
      </c>
      <c r="E48" s="20" t="s">
        <v>634</v>
      </c>
      <c r="F48" s="20" t="s">
        <v>634</v>
      </c>
      <c r="G48" s="20" t="s">
        <v>634</v>
      </c>
      <c r="H48" s="20" t="s">
        <v>634</v>
      </c>
      <c r="I48" s="20" t="s">
        <v>634</v>
      </c>
      <c r="J48" s="20" t="s">
        <v>634</v>
      </c>
      <c r="K48" s="20" t="s">
        <v>634</v>
      </c>
      <c r="L48" s="20" t="s">
        <v>634</v>
      </c>
      <c r="M48" s="20" t="s">
        <v>634</v>
      </c>
      <c r="N48" s="20" t="s">
        <v>634</v>
      </c>
      <c r="O48" s="20" t="s">
        <v>634</v>
      </c>
      <c r="P48" s="20" t="s">
        <v>634</v>
      </c>
      <c r="Q48" s="20" t="s">
        <v>634</v>
      </c>
      <c r="R48" s="20" t="s">
        <v>634</v>
      </c>
    </row>
    <row r="49" spans="1:18" x14ac:dyDescent="0.3">
      <c r="A49" s="21" t="s">
        <v>634</v>
      </c>
      <c r="B49" s="21" t="s">
        <v>634</v>
      </c>
      <c r="C49" s="21" t="s">
        <v>642</v>
      </c>
      <c r="D49" s="21" t="s">
        <v>634</v>
      </c>
      <c r="E49" s="21" t="s">
        <v>634</v>
      </c>
      <c r="F49" s="21" t="s">
        <v>634</v>
      </c>
      <c r="G49" s="21" t="s">
        <v>634</v>
      </c>
      <c r="H49" s="21" t="s">
        <v>634</v>
      </c>
      <c r="I49" s="21" t="s">
        <v>634</v>
      </c>
      <c r="J49" s="21" t="s">
        <v>634</v>
      </c>
      <c r="K49" s="21" t="s">
        <v>634</v>
      </c>
      <c r="L49" s="21" t="s">
        <v>634</v>
      </c>
      <c r="M49" s="21" t="s">
        <v>634</v>
      </c>
      <c r="N49" s="21" t="s">
        <v>634</v>
      </c>
      <c r="O49" s="21" t="s">
        <v>634</v>
      </c>
      <c r="P49" s="21" t="s">
        <v>634</v>
      </c>
      <c r="Q49" s="21" t="s">
        <v>634</v>
      </c>
      <c r="R49" s="21" t="s">
        <v>634</v>
      </c>
    </row>
    <row r="50" spans="1:18" x14ac:dyDescent="0.3">
      <c r="A50" s="20" t="s">
        <v>634</v>
      </c>
      <c r="B50" s="20" t="s">
        <v>634</v>
      </c>
      <c r="C50" s="20" t="s">
        <v>663</v>
      </c>
      <c r="D50" s="20" t="s">
        <v>634</v>
      </c>
      <c r="E50" s="20" t="s">
        <v>634</v>
      </c>
      <c r="F50" s="20" t="s">
        <v>634</v>
      </c>
      <c r="G50" s="20" t="s">
        <v>634</v>
      </c>
      <c r="H50" s="20" t="s">
        <v>634</v>
      </c>
      <c r="I50" s="20" t="s">
        <v>634</v>
      </c>
      <c r="J50" s="20" t="s">
        <v>634</v>
      </c>
      <c r="K50" s="20" t="s">
        <v>634</v>
      </c>
      <c r="L50" s="20" t="s">
        <v>634</v>
      </c>
      <c r="M50" s="20" t="s">
        <v>634</v>
      </c>
      <c r="N50" s="20" t="s">
        <v>634</v>
      </c>
      <c r="O50" s="20" t="s">
        <v>634</v>
      </c>
      <c r="P50" s="20" t="s">
        <v>634</v>
      </c>
      <c r="Q50" s="20" t="s">
        <v>634</v>
      </c>
      <c r="R50" s="20" t="s">
        <v>634</v>
      </c>
    </row>
    <row r="51" spans="1:18" x14ac:dyDescent="0.3">
      <c r="A51" s="21" t="s">
        <v>634</v>
      </c>
      <c r="B51" s="21" t="s">
        <v>634</v>
      </c>
      <c r="C51" s="21" t="s">
        <v>664</v>
      </c>
      <c r="D51" s="21" t="s">
        <v>657</v>
      </c>
      <c r="E51" s="21" t="s">
        <v>634</v>
      </c>
      <c r="F51" s="21" t="s">
        <v>634</v>
      </c>
      <c r="G51" s="21" t="s">
        <v>634</v>
      </c>
      <c r="H51" s="21" t="s">
        <v>634</v>
      </c>
      <c r="I51" s="21" t="s">
        <v>634</v>
      </c>
      <c r="J51" s="21" t="s">
        <v>634</v>
      </c>
      <c r="K51" s="21" t="s">
        <v>634</v>
      </c>
      <c r="L51" s="21" t="s">
        <v>634</v>
      </c>
      <c r="M51" s="21" t="s">
        <v>634</v>
      </c>
      <c r="N51" s="21" t="s">
        <v>634</v>
      </c>
      <c r="O51" s="21" t="s">
        <v>634</v>
      </c>
      <c r="P51" s="21" t="s">
        <v>634</v>
      </c>
      <c r="Q51" s="21" t="s">
        <v>634</v>
      </c>
      <c r="R51" s="21" t="s">
        <v>634</v>
      </c>
    </row>
    <row r="52" spans="1:18" x14ac:dyDescent="0.3">
      <c r="A52" s="20" t="s">
        <v>634</v>
      </c>
      <c r="B52" s="20" t="s">
        <v>634</v>
      </c>
      <c r="C52" s="20" t="s">
        <v>634</v>
      </c>
      <c r="D52" s="20" t="s">
        <v>594</v>
      </c>
      <c r="E52" s="20" t="s">
        <v>634</v>
      </c>
      <c r="F52" s="20" t="s">
        <v>634</v>
      </c>
      <c r="G52" s="20" t="s">
        <v>634</v>
      </c>
      <c r="H52" s="20" t="s">
        <v>634</v>
      </c>
      <c r="I52" s="20" t="s">
        <v>634</v>
      </c>
      <c r="J52" s="20" t="s">
        <v>634</v>
      </c>
      <c r="K52" s="20" t="s">
        <v>634</v>
      </c>
      <c r="L52" s="20" t="s">
        <v>634</v>
      </c>
      <c r="M52" s="20" t="s">
        <v>634</v>
      </c>
      <c r="N52" s="20" t="s">
        <v>634</v>
      </c>
      <c r="O52" s="20" t="s">
        <v>634</v>
      </c>
      <c r="P52" s="20" t="s">
        <v>634</v>
      </c>
      <c r="Q52" s="20" t="s">
        <v>634</v>
      </c>
      <c r="R52" s="20" t="s">
        <v>634</v>
      </c>
    </row>
    <row r="53" spans="1:18" x14ac:dyDescent="0.3">
      <c r="A53" s="20"/>
      <c r="B53" s="20"/>
      <c r="C53" s="20"/>
      <c r="D53" s="20" t="s">
        <v>649</v>
      </c>
      <c r="E53" s="20"/>
      <c r="F53" s="20"/>
      <c r="G53" s="20"/>
      <c r="H53" s="20"/>
      <c r="I53" s="20"/>
      <c r="J53" s="20"/>
      <c r="K53" s="20"/>
      <c r="L53" s="20"/>
      <c r="M53" s="20"/>
      <c r="N53" s="20"/>
      <c r="O53" s="20"/>
      <c r="P53" s="20"/>
      <c r="Q53" s="20"/>
      <c r="R53" s="20"/>
    </row>
    <row r="54" spans="1:18" x14ac:dyDescent="0.3">
      <c r="A54" s="21" t="s">
        <v>634</v>
      </c>
      <c r="B54" s="21" t="s">
        <v>634</v>
      </c>
      <c r="C54" s="21" t="s">
        <v>665</v>
      </c>
      <c r="D54" s="21" t="s">
        <v>634</v>
      </c>
      <c r="E54" s="21" t="s">
        <v>634</v>
      </c>
      <c r="F54" s="21" t="s">
        <v>634</v>
      </c>
      <c r="G54" s="21" t="s">
        <v>634</v>
      </c>
      <c r="H54" s="21" t="s">
        <v>634</v>
      </c>
      <c r="I54" s="21" t="s">
        <v>634</v>
      </c>
      <c r="J54" s="21" t="s">
        <v>634</v>
      </c>
      <c r="K54" s="21" t="s">
        <v>634</v>
      </c>
      <c r="L54" s="21" t="s">
        <v>634</v>
      </c>
      <c r="M54" s="21" t="s">
        <v>634</v>
      </c>
      <c r="N54" s="21" t="s">
        <v>634</v>
      </c>
      <c r="O54" s="21" t="s">
        <v>634</v>
      </c>
      <c r="P54" s="21" t="s">
        <v>634</v>
      </c>
      <c r="Q54" s="21" t="s">
        <v>634</v>
      </c>
      <c r="R54" s="21" t="s">
        <v>634</v>
      </c>
    </row>
    <row r="55" spans="1:18" x14ac:dyDescent="0.3">
      <c r="A55" s="20" t="s">
        <v>634</v>
      </c>
      <c r="B55" s="20" t="s">
        <v>666</v>
      </c>
      <c r="C55" s="20" t="s">
        <v>634</v>
      </c>
      <c r="D55" s="20" t="s">
        <v>634</v>
      </c>
      <c r="E55" s="20" t="s">
        <v>634</v>
      </c>
      <c r="F55" s="20" t="s">
        <v>634</v>
      </c>
      <c r="G55" s="20" t="s">
        <v>634</v>
      </c>
      <c r="H55" s="20" t="s">
        <v>634</v>
      </c>
      <c r="I55" s="20" t="s">
        <v>634</v>
      </c>
      <c r="J55" s="20" t="s">
        <v>634</v>
      </c>
      <c r="K55" s="20" t="s">
        <v>634</v>
      </c>
      <c r="L55" s="20" t="s">
        <v>634</v>
      </c>
      <c r="M55" s="20" t="s">
        <v>634</v>
      </c>
      <c r="N55" s="20" t="s">
        <v>634</v>
      </c>
      <c r="O55" s="20" t="s">
        <v>634</v>
      </c>
      <c r="P55" s="20" t="s">
        <v>634</v>
      </c>
      <c r="Q55" s="20" t="s">
        <v>634</v>
      </c>
      <c r="R55" s="20" t="s">
        <v>634</v>
      </c>
    </row>
    <row r="56" spans="1:18" x14ac:dyDescent="0.3">
      <c r="A56" s="21" t="s">
        <v>634</v>
      </c>
      <c r="B56" s="21" t="s">
        <v>634</v>
      </c>
      <c r="C56" s="21" t="s">
        <v>16</v>
      </c>
      <c r="D56" s="21" t="s">
        <v>634</v>
      </c>
      <c r="E56" s="21" t="s">
        <v>634</v>
      </c>
      <c r="F56" s="21" t="s">
        <v>634</v>
      </c>
      <c r="G56" s="21" t="s">
        <v>634</v>
      </c>
      <c r="H56" s="21" t="s">
        <v>634</v>
      </c>
      <c r="I56" s="21" t="s">
        <v>634</v>
      </c>
      <c r="J56" s="21" t="s">
        <v>634</v>
      </c>
      <c r="K56" s="21" t="s">
        <v>634</v>
      </c>
      <c r="L56" s="21" t="s">
        <v>634</v>
      </c>
      <c r="M56" s="21" t="s">
        <v>634</v>
      </c>
      <c r="N56" s="21" t="s">
        <v>634</v>
      </c>
      <c r="O56" s="21" t="s">
        <v>634</v>
      </c>
      <c r="P56" s="21" t="s">
        <v>634</v>
      </c>
      <c r="Q56" s="21" t="s">
        <v>634</v>
      </c>
      <c r="R56" s="21" t="s">
        <v>634</v>
      </c>
    </row>
    <row r="57" spans="1:18" x14ac:dyDescent="0.3">
      <c r="A57" s="20" t="s">
        <v>634</v>
      </c>
      <c r="B57" s="20" t="s">
        <v>634</v>
      </c>
      <c r="C57" s="20" t="s">
        <v>641</v>
      </c>
      <c r="D57" s="20" t="s">
        <v>634</v>
      </c>
      <c r="E57" s="20" t="s">
        <v>634</v>
      </c>
      <c r="F57" s="20" t="s">
        <v>634</v>
      </c>
      <c r="G57" s="20" t="s">
        <v>634</v>
      </c>
      <c r="H57" s="20" t="s">
        <v>634</v>
      </c>
      <c r="I57" s="20" t="s">
        <v>634</v>
      </c>
      <c r="J57" s="20" t="s">
        <v>634</v>
      </c>
      <c r="K57" s="20" t="s">
        <v>634</v>
      </c>
      <c r="L57" s="20" t="s">
        <v>634</v>
      </c>
      <c r="M57" s="20" t="s">
        <v>634</v>
      </c>
      <c r="N57" s="20" t="s">
        <v>634</v>
      </c>
      <c r="O57" s="20" t="s">
        <v>634</v>
      </c>
      <c r="P57" s="20" t="s">
        <v>634</v>
      </c>
      <c r="Q57" s="20" t="s">
        <v>634</v>
      </c>
      <c r="R57" s="20" t="s">
        <v>634</v>
      </c>
    </row>
    <row r="58" spans="1:18" x14ac:dyDescent="0.3">
      <c r="A58" s="21" t="s">
        <v>634</v>
      </c>
      <c r="B58" s="21" t="s">
        <v>634</v>
      </c>
      <c r="C58" s="21" t="s">
        <v>642</v>
      </c>
      <c r="D58" s="21" t="s">
        <v>634</v>
      </c>
      <c r="E58" s="21" t="s">
        <v>634</v>
      </c>
      <c r="F58" s="21" t="s">
        <v>634</v>
      </c>
      <c r="G58" s="21" t="s">
        <v>634</v>
      </c>
      <c r="H58" s="21" t="s">
        <v>634</v>
      </c>
      <c r="I58" s="21" t="s">
        <v>634</v>
      </c>
      <c r="J58" s="21" t="s">
        <v>634</v>
      </c>
      <c r="K58" s="21" t="s">
        <v>634</v>
      </c>
      <c r="L58" s="21" t="s">
        <v>634</v>
      </c>
      <c r="M58" s="21" t="s">
        <v>634</v>
      </c>
      <c r="N58" s="21" t="s">
        <v>634</v>
      </c>
      <c r="O58" s="21" t="s">
        <v>634</v>
      </c>
      <c r="P58" s="21" t="s">
        <v>634</v>
      </c>
      <c r="Q58" s="21" t="s">
        <v>634</v>
      </c>
      <c r="R58" s="21" t="s">
        <v>634</v>
      </c>
    </row>
    <row r="59" spans="1:18" x14ac:dyDescent="0.3">
      <c r="A59" s="20" t="s">
        <v>634</v>
      </c>
      <c r="B59" s="20" t="s">
        <v>634</v>
      </c>
      <c r="C59" s="20" t="s">
        <v>667</v>
      </c>
      <c r="D59" s="20" t="s">
        <v>634</v>
      </c>
      <c r="E59" s="20" t="s">
        <v>634</v>
      </c>
      <c r="F59" s="20" t="s">
        <v>634</v>
      </c>
      <c r="G59" s="20" t="s">
        <v>634</v>
      </c>
      <c r="H59" s="20" t="s">
        <v>634</v>
      </c>
      <c r="I59" s="20" t="s">
        <v>634</v>
      </c>
      <c r="J59" s="20" t="s">
        <v>634</v>
      </c>
      <c r="K59" s="20" t="s">
        <v>634</v>
      </c>
      <c r="L59" s="20" t="s">
        <v>634</v>
      </c>
      <c r="M59" s="20" t="s">
        <v>634</v>
      </c>
      <c r="N59" s="20" t="s">
        <v>634</v>
      </c>
      <c r="O59" s="20" t="s">
        <v>634</v>
      </c>
      <c r="P59" s="20" t="s">
        <v>634</v>
      </c>
      <c r="Q59" s="20" t="s">
        <v>634</v>
      </c>
      <c r="R59" s="20" t="s">
        <v>634</v>
      </c>
    </row>
    <row r="60" spans="1:18" x14ac:dyDescent="0.3">
      <c r="A60" s="21" t="s">
        <v>634</v>
      </c>
      <c r="B60" s="21" t="s">
        <v>634</v>
      </c>
      <c r="C60" s="21" t="s">
        <v>668</v>
      </c>
      <c r="D60" s="21" t="s">
        <v>669</v>
      </c>
      <c r="E60" s="21" t="s">
        <v>634</v>
      </c>
      <c r="F60" s="21" t="s">
        <v>634</v>
      </c>
      <c r="G60" s="21" t="s">
        <v>634</v>
      </c>
      <c r="H60" s="21" t="s">
        <v>634</v>
      </c>
      <c r="I60" s="21" t="s">
        <v>634</v>
      </c>
      <c r="J60" s="21" t="s">
        <v>634</v>
      </c>
      <c r="K60" s="21" t="s">
        <v>634</v>
      </c>
      <c r="L60" s="21" t="s">
        <v>634</v>
      </c>
      <c r="M60" s="21" t="s">
        <v>634</v>
      </c>
      <c r="N60" s="21" t="s">
        <v>634</v>
      </c>
      <c r="O60" s="21" t="s">
        <v>634</v>
      </c>
      <c r="P60" s="21" t="s">
        <v>634</v>
      </c>
      <c r="Q60" s="21" t="s">
        <v>634</v>
      </c>
      <c r="R60" s="21" t="s">
        <v>634</v>
      </c>
    </row>
    <row r="61" spans="1:18" x14ac:dyDescent="0.3">
      <c r="A61" s="20" t="s">
        <v>634</v>
      </c>
      <c r="B61" s="20" t="s">
        <v>634</v>
      </c>
      <c r="C61" s="20" t="s">
        <v>634</v>
      </c>
      <c r="D61" s="20" t="s">
        <v>670</v>
      </c>
      <c r="E61" s="20" t="s">
        <v>634</v>
      </c>
      <c r="F61" s="20" t="s">
        <v>634</v>
      </c>
      <c r="G61" s="20" t="s">
        <v>634</v>
      </c>
      <c r="H61" s="20" t="s">
        <v>634</v>
      </c>
      <c r="I61" s="20" t="s">
        <v>634</v>
      </c>
      <c r="J61" s="20" t="s">
        <v>634</v>
      </c>
      <c r="K61" s="20" t="s">
        <v>634</v>
      </c>
      <c r="L61" s="20" t="s">
        <v>634</v>
      </c>
      <c r="M61" s="20" t="s">
        <v>634</v>
      </c>
      <c r="N61" s="20" t="s">
        <v>634</v>
      </c>
      <c r="O61" s="20" t="s">
        <v>634</v>
      </c>
      <c r="P61" s="20" t="s">
        <v>634</v>
      </c>
      <c r="Q61" s="20" t="s">
        <v>634</v>
      </c>
      <c r="R61" s="20" t="s">
        <v>634</v>
      </c>
    </row>
    <row r="62" spans="1:18" x14ac:dyDescent="0.3">
      <c r="A62" s="21" t="s">
        <v>634</v>
      </c>
      <c r="B62" s="21" t="s">
        <v>634</v>
      </c>
      <c r="C62" s="21" t="s">
        <v>634</v>
      </c>
      <c r="D62" s="21" t="s">
        <v>671</v>
      </c>
      <c r="E62" s="21" t="s">
        <v>634</v>
      </c>
      <c r="F62" s="21" t="s">
        <v>634</v>
      </c>
      <c r="G62" s="21" t="s">
        <v>634</v>
      </c>
      <c r="H62" s="21" t="s">
        <v>634</v>
      </c>
      <c r="I62" s="21" t="s">
        <v>634</v>
      </c>
      <c r="J62" s="21" t="s">
        <v>634</v>
      </c>
      <c r="K62" s="21" t="s">
        <v>634</v>
      </c>
      <c r="L62" s="21" t="s">
        <v>634</v>
      </c>
      <c r="M62" s="21" t="s">
        <v>634</v>
      </c>
      <c r="N62" s="21" t="s">
        <v>634</v>
      </c>
      <c r="O62" s="21" t="s">
        <v>634</v>
      </c>
      <c r="P62" s="21" t="s">
        <v>634</v>
      </c>
      <c r="Q62" s="21" t="s">
        <v>634</v>
      </c>
      <c r="R62" s="21" t="s">
        <v>634</v>
      </c>
    </row>
    <row r="63" spans="1:18" x14ac:dyDescent="0.3">
      <c r="A63" s="20" t="s">
        <v>634</v>
      </c>
      <c r="B63" s="20" t="s">
        <v>634</v>
      </c>
      <c r="C63" s="20" t="s">
        <v>634</v>
      </c>
      <c r="D63" s="20" t="s">
        <v>594</v>
      </c>
      <c r="E63" s="20" t="s">
        <v>634</v>
      </c>
      <c r="F63" s="20" t="s">
        <v>634</v>
      </c>
      <c r="G63" s="20" t="s">
        <v>634</v>
      </c>
      <c r="H63" s="20" t="s">
        <v>634</v>
      </c>
      <c r="I63" s="20" t="s">
        <v>634</v>
      </c>
      <c r="J63" s="20" t="s">
        <v>634</v>
      </c>
      <c r="K63" s="20" t="s">
        <v>634</v>
      </c>
      <c r="L63" s="20" t="s">
        <v>634</v>
      </c>
      <c r="M63" s="20" t="s">
        <v>634</v>
      </c>
      <c r="N63" s="20" t="s">
        <v>634</v>
      </c>
      <c r="O63" s="20" t="s">
        <v>634</v>
      </c>
      <c r="P63" s="20" t="s">
        <v>634</v>
      </c>
      <c r="Q63" s="20" t="s">
        <v>634</v>
      </c>
      <c r="R63" s="20" t="s">
        <v>634</v>
      </c>
    </row>
    <row r="64" spans="1:18" x14ac:dyDescent="0.3">
      <c r="A64" s="20"/>
      <c r="B64" s="20"/>
      <c r="C64" s="20"/>
      <c r="D64" s="20" t="s">
        <v>649</v>
      </c>
      <c r="E64" s="20"/>
      <c r="F64" s="20"/>
      <c r="G64" s="20"/>
      <c r="H64" s="20"/>
      <c r="I64" s="20"/>
      <c r="J64" s="20"/>
      <c r="K64" s="20"/>
      <c r="L64" s="20"/>
      <c r="M64" s="20"/>
      <c r="N64" s="20"/>
      <c r="O64" s="20"/>
      <c r="P64" s="20"/>
      <c r="Q64" s="20"/>
      <c r="R64" s="20"/>
    </row>
    <row r="65" spans="1:18" x14ac:dyDescent="0.3">
      <c r="A65" s="21" t="s">
        <v>634</v>
      </c>
      <c r="B65" s="21" t="s">
        <v>634</v>
      </c>
      <c r="C65" s="21" t="s">
        <v>665</v>
      </c>
      <c r="D65" s="21" t="s">
        <v>634</v>
      </c>
      <c r="E65" s="21" t="s">
        <v>634</v>
      </c>
      <c r="F65" s="21" t="s">
        <v>634</v>
      </c>
      <c r="G65" s="21" t="s">
        <v>634</v>
      </c>
      <c r="H65" s="21" t="s">
        <v>634</v>
      </c>
      <c r="I65" s="21" t="s">
        <v>634</v>
      </c>
      <c r="J65" s="21" t="s">
        <v>634</v>
      </c>
      <c r="K65" s="21" t="s">
        <v>634</v>
      </c>
      <c r="L65" s="21" t="s">
        <v>634</v>
      </c>
      <c r="M65" s="21" t="s">
        <v>634</v>
      </c>
      <c r="N65" s="21" t="s">
        <v>634</v>
      </c>
      <c r="O65" s="21" t="s">
        <v>634</v>
      </c>
      <c r="P65" s="21" t="s">
        <v>634</v>
      </c>
      <c r="Q65" s="21" t="s">
        <v>634</v>
      </c>
      <c r="R65" s="21" t="s">
        <v>634</v>
      </c>
    </row>
    <row r="66" spans="1:18" x14ac:dyDescent="0.3">
      <c r="A66" s="20" t="s">
        <v>634</v>
      </c>
      <c r="B66" s="20" t="s">
        <v>672</v>
      </c>
      <c r="C66" s="20" t="s">
        <v>634</v>
      </c>
      <c r="D66" s="20" t="s">
        <v>634</v>
      </c>
      <c r="E66" s="20" t="s">
        <v>634</v>
      </c>
      <c r="F66" s="20" t="s">
        <v>634</v>
      </c>
      <c r="G66" s="20" t="s">
        <v>634</v>
      </c>
      <c r="H66" s="20" t="s">
        <v>634</v>
      </c>
      <c r="I66" s="20" t="s">
        <v>634</v>
      </c>
      <c r="J66" s="20" t="s">
        <v>634</v>
      </c>
      <c r="K66" s="20" t="s">
        <v>634</v>
      </c>
      <c r="L66" s="20" t="s">
        <v>634</v>
      </c>
      <c r="M66" s="20" t="s">
        <v>634</v>
      </c>
      <c r="N66" s="20" t="s">
        <v>634</v>
      </c>
      <c r="O66" s="20" t="s">
        <v>634</v>
      </c>
      <c r="P66" s="20" t="s">
        <v>634</v>
      </c>
      <c r="Q66" s="20" t="s">
        <v>634</v>
      </c>
      <c r="R66" s="20" t="s">
        <v>634</v>
      </c>
    </row>
    <row r="67" spans="1:18" x14ac:dyDescent="0.3">
      <c r="A67" s="21" t="s">
        <v>634</v>
      </c>
      <c r="B67" s="21" t="s">
        <v>634</v>
      </c>
      <c r="C67" s="21" t="s">
        <v>16</v>
      </c>
      <c r="D67" s="21" t="s">
        <v>634</v>
      </c>
      <c r="E67" s="21" t="s">
        <v>634</v>
      </c>
      <c r="F67" s="21" t="s">
        <v>634</v>
      </c>
      <c r="G67" s="21" t="s">
        <v>634</v>
      </c>
      <c r="H67" s="21" t="s">
        <v>634</v>
      </c>
      <c r="I67" s="21" t="s">
        <v>634</v>
      </c>
      <c r="J67" s="21" t="s">
        <v>634</v>
      </c>
      <c r="K67" s="21" t="s">
        <v>634</v>
      </c>
      <c r="L67" s="21" t="s">
        <v>634</v>
      </c>
      <c r="M67" s="21" t="s">
        <v>634</v>
      </c>
      <c r="N67" s="21" t="s">
        <v>634</v>
      </c>
      <c r="O67" s="21" t="s">
        <v>634</v>
      </c>
      <c r="P67" s="21" t="s">
        <v>634</v>
      </c>
      <c r="Q67" s="21" t="s">
        <v>634</v>
      </c>
      <c r="R67" s="21" t="s">
        <v>634</v>
      </c>
    </row>
    <row r="68" spans="1:18" x14ac:dyDescent="0.3">
      <c r="A68" s="20" t="s">
        <v>634</v>
      </c>
      <c r="B68" s="20" t="s">
        <v>634</v>
      </c>
      <c r="C68" s="20" t="s">
        <v>641</v>
      </c>
      <c r="D68" s="20" t="s">
        <v>634</v>
      </c>
      <c r="E68" s="20" t="s">
        <v>634</v>
      </c>
      <c r="F68" s="20" t="s">
        <v>634</v>
      </c>
      <c r="G68" s="20" t="s">
        <v>634</v>
      </c>
      <c r="H68" s="20" t="s">
        <v>634</v>
      </c>
      <c r="I68" s="20" t="s">
        <v>634</v>
      </c>
      <c r="J68" s="20" t="s">
        <v>634</v>
      </c>
      <c r="K68" s="20" t="s">
        <v>634</v>
      </c>
      <c r="L68" s="20" t="s">
        <v>634</v>
      </c>
      <c r="M68" s="20" t="s">
        <v>634</v>
      </c>
      <c r="N68" s="20" t="s">
        <v>634</v>
      </c>
      <c r="O68" s="20" t="s">
        <v>634</v>
      </c>
      <c r="P68" s="20" t="s">
        <v>634</v>
      </c>
      <c r="Q68" s="20" t="s">
        <v>634</v>
      </c>
      <c r="R68" s="20" t="s">
        <v>634</v>
      </c>
    </row>
    <row r="69" spans="1:18" x14ac:dyDescent="0.3">
      <c r="A69" s="21" t="s">
        <v>634</v>
      </c>
      <c r="B69" s="21" t="s">
        <v>634</v>
      </c>
      <c r="C69" s="21" t="s">
        <v>642</v>
      </c>
      <c r="D69" s="21" t="s">
        <v>634</v>
      </c>
      <c r="E69" s="21" t="s">
        <v>634</v>
      </c>
      <c r="F69" s="21" t="s">
        <v>634</v>
      </c>
      <c r="G69" s="21" t="s">
        <v>634</v>
      </c>
      <c r="H69" s="21" t="s">
        <v>634</v>
      </c>
      <c r="I69" s="21" t="s">
        <v>634</v>
      </c>
      <c r="J69" s="21" t="s">
        <v>634</v>
      </c>
      <c r="K69" s="21" t="s">
        <v>634</v>
      </c>
      <c r="L69" s="21" t="s">
        <v>634</v>
      </c>
      <c r="M69" s="21" t="s">
        <v>634</v>
      </c>
      <c r="N69" s="21" t="s">
        <v>634</v>
      </c>
      <c r="O69" s="21" t="s">
        <v>634</v>
      </c>
      <c r="P69" s="21" t="s">
        <v>634</v>
      </c>
      <c r="Q69" s="21" t="s">
        <v>634</v>
      </c>
      <c r="R69" s="21" t="s">
        <v>634</v>
      </c>
    </row>
    <row r="70" spans="1:18" x14ac:dyDescent="0.3">
      <c r="A70" s="20" t="s">
        <v>634</v>
      </c>
      <c r="B70" s="20" t="s">
        <v>634</v>
      </c>
      <c r="C70" s="20" t="s">
        <v>673</v>
      </c>
      <c r="D70" s="20" t="s">
        <v>634</v>
      </c>
      <c r="E70" s="20" t="s">
        <v>634</v>
      </c>
      <c r="F70" s="20" t="s">
        <v>634</v>
      </c>
      <c r="G70" s="20" t="s">
        <v>634</v>
      </c>
      <c r="H70" s="20" t="s">
        <v>634</v>
      </c>
      <c r="I70" s="20" t="s">
        <v>634</v>
      </c>
      <c r="J70" s="20" t="s">
        <v>634</v>
      </c>
      <c r="K70" s="20" t="s">
        <v>634</v>
      </c>
      <c r="L70" s="20" t="s">
        <v>634</v>
      </c>
      <c r="M70" s="20" t="s">
        <v>634</v>
      </c>
      <c r="N70" s="20" t="s">
        <v>634</v>
      </c>
      <c r="O70" s="20" t="s">
        <v>634</v>
      </c>
      <c r="P70" s="20" t="s">
        <v>634</v>
      </c>
      <c r="Q70" s="20" t="s">
        <v>634</v>
      </c>
      <c r="R70" s="20" t="s">
        <v>634</v>
      </c>
    </row>
    <row r="71" spans="1:18" x14ac:dyDescent="0.3">
      <c r="A71" s="21" t="s">
        <v>634</v>
      </c>
      <c r="B71" s="21" t="s">
        <v>634</v>
      </c>
      <c r="C71" s="21" t="s">
        <v>674</v>
      </c>
      <c r="D71" s="21" t="s">
        <v>675</v>
      </c>
      <c r="E71" s="21" t="s">
        <v>634</v>
      </c>
      <c r="F71" s="21" t="s">
        <v>634</v>
      </c>
      <c r="G71" s="21" t="s">
        <v>634</v>
      </c>
      <c r="H71" s="21" t="s">
        <v>634</v>
      </c>
      <c r="I71" s="21" t="s">
        <v>634</v>
      </c>
      <c r="J71" s="21" t="s">
        <v>634</v>
      </c>
      <c r="K71" s="21" t="s">
        <v>634</v>
      </c>
      <c r="L71" s="21" t="s">
        <v>634</v>
      </c>
      <c r="M71" s="21" t="s">
        <v>634</v>
      </c>
      <c r="N71" s="21" t="s">
        <v>634</v>
      </c>
      <c r="O71" s="21" t="s">
        <v>634</v>
      </c>
      <c r="P71" s="21" t="s">
        <v>634</v>
      </c>
      <c r="Q71" s="21" t="s">
        <v>634</v>
      </c>
      <c r="R71" s="21" t="s">
        <v>634</v>
      </c>
    </row>
    <row r="72" spans="1:18" x14ac:dyDescent="0.3">
      <c r="A72" s="20" t="s">
        <v>634</v>
      </c>
      <c r="B72" s="20" t="s">
        <v>634</v>
      </c>
      <c r="C72" s="20" t="s">
        <v>634</v>
      </c>
      <c r="D72" s="20" t="s">
        <v>669</v>
      </c>
      <c r="E72" s="20" t="s">
        <v>634</v>
      </c>
      <c r="F72" s="20" t="s">
        <v>634</v>
      </c>
      <c r="G72" s="20" t="s">
        <v>634</v>
      </c>
      <c r="H72" s="20" t="s">
        <v>634</v>
      </c>
      <c r="I72" s="20" t="s">
        <v>634</v>
      </c>
      <c r="J72" s="20" t="s">
        <v>634</v>
      </c>
      <c r="K72" s="20" t="s">
        <v>634</v>
      </c>
      <c r="L72" s="20" t="s">
        <v>634</v>
      </c>
      <c r="M72" s="20" t="s">
        <v>634</v>
      </c>
      <c r="N72" s="20" t="s">
        <v>634</v>
      </c>
      <c r="O72" s="20" t="s">
        <v>634</v>
      </c>
      <c r="P72" s="20" t="s">
        <v>634</v>
      </c>
      <c r="Q72" s="20" t="s">
        <v>634</v>
      </c>
      <c r="R72" s="20" t="s">
        <v>634</v>
      </c>
    </row>
    <row r="73" spans="1:18" x14ac:dyDescent="0.3">
      <c r="A73" s="21" t="s">
        <v>634</v>
      </c>
      <c r="B73" s="21" t="s">
        <v>634</v>
      </c>
      <c r="C73" s="21"/>
      <c r="D73" s="21" t="s">
        <v>594</v>
      </c>
      <c r="E73" s="21" t="s">
        <v>634</v>
      </c>
      <c r="F73" s="21" t="s">
        <v>634</v>
      </c>
      <c r="G73" s="21" t="s">
        <v>634</v>
      </c>
      <c r="H73" s="21" t="s">
        <v>634</v>
      </c>
      <c r="I73" s="21" t="s">
        <v>634</v>
      </c>
      <c r="J73" s="21" t="s">
        <v>634</v>
      </c>
      <c r="K73" s="21" t="s">
        <v>634</v>
      </c>
      <c r="L73" s="21" t="s">
        <v>634</v>
      </c>
      <c r="M73" s="21" t="s">
        <v>634</v>
      </c>
      <c r="N73" s="21" t="s">
        <v>634</v>
      </c>
      <c r="O73" s="21" t="s">
        <v>634</v>
      </c>
      <c r="P73" s="21" t="s">
        <v>634</v>
      </c>
      <c r="Q73" s="21" t="s">
        <v>634</v>
      </c>
      <c r="R73" s="21" t="s">
        <v>634</v>
      </c>
    </row>
    <row r="74" spans="1:18" x14ac:dyDescent="0.3">
      <c r="A74" s="21"/>
      <c r="B74" s="21"/>
      <c r="C74" s="21"/>
      <c r="D74" s="20" t="s">
        <v>649</v>
      </c>
      <c r="E74" s="21"/>
      <c r="F74" s="21"/>
      <c r="G74" s="21"/>
      <c r="H74" s="21"/>
      <c r="I74" s="21"/>
      <c r="J74" s="21"/>
      <c r="K74" s="21"/>
      <c r="L74" s="21"/>
      <c r="M74" s="21"/>
      <c r="N74" s="21"/>
      <c r="O74" s="21"/>
      <c r="P74" s="21"/>
      <c r="Q74" s="21"/>
      <c r="R74" s="21"/>
    </row>
    <row r="75" spans="1:18" x14ac:dyDescent="0.3">
      <c r="A75" s="21"/>
      <c r="B75" s="21"/>
      <c r="C75" s="21" t="s">
        <v>676</v>
      </c>
      <c r="D75" s="21"/>
      <c r="E75" s="21"/>
      <c r="F75" s="21"/>
      <c r="G75" s="21"/>
      <c r="H75" s="21"/>
      <c r="I75" s="21"/>
      <c r="J75" s="21"/>
      <c r="K75" s="21"/>
      <c r="L75" s="21"/>
      <c r="M75" s="21"/>
      <c r="N75" s="21"/>
      <c r="O75" s="21"/>
      <c r="P75" s="21"/>
      <c r="Q75" s="21"/>
      <c r="R75" s="21"/>
    </row>
    <row r="76" spans="1:18" x14ac:dyDescent="0.3">
      <c r="A76" s="20" t="s">
        <v>677</v>
      </c>
      <c r="B76" s="20" t="s">
        <v>634</v>
      </c>
      <c r="C76" s="20" t="s">
        <v>634</v>
      </c>
      <c r="D76" s="20" t="s">
        <v>634</v>
      </c>
      <c r="E76" s="20" t="s">
        <v>634</v>
      </c>
      <c r="F76" s="20" t="s">
        <v>634</v>
      </c>
      <c r="G76" s="20" t="s">
        <v>634</v>
      </c>
      <c r="H76" s="20" t="s">
        <v>634</v>
      </c>
      <c r="I76" s="20" t="s">
        <v>634</v>
      </c>
      <c r="J76" s="20" t="s">
        <v>634</v>
      </c>
      <c r="K76" s="20" t="s">
        <v>634</v>
      </c>
      <c r="L76" s="20" t="s">
        <v>634</v>
      </c>
      <c r="M76" s="20" t="s">
        <v>634</v>
      </c>
      <c r="N76" s="20" t="s">
        <v>634</v>
      </c>
      <c r="O76" s="20" t="s">
        <v>634</v>
      </c>
      <c r="P76" s="20" t="s">
        <v>634</v>
      </c>
      <c r="Q76" s="20" t="s">
        <v>634</v>
      </c>
      <c r="R76" s="20" t="s">
        <v>634</v>
      </c>
    </row>
    <row r="77" spans="1:18" x14ac:dyDescent="0.3">
      <c r="A77" s="21" t="s">
        <v>634</v>
      </c>
      <c r="B77" s="21" t="s">
        <v>678</v>
      </c>
      <c r="C77" s="21" t="s">
        <v>634</v>
      </c>
      <c r="D77" s="21" t="s">
        <v>634</v>
      </c>
      <c r="E77" s="21" t="s">
        <v>634</v>
      </c>
      <c r="F77" s="21" t="s">
        <v>634</v>
      </c>
      <c r="G77" s="21" t="s">
        <v>634</v>
      </c>
      <c r="H77" s="21" t="s">
        <v>634</v>
      </c>
      <c r="I77" s="21" t="s">
        <v>634</v>
      </c>
      <c r="J77" s="21" t="s">
        <v>634</v>
      </c>
      <c r="K77" s="21" t="s">
        <v>634</v>
      </c>
      <c r="L77" s="21" t="s">
        <v>634</v>
      </c>
      <c r="M77" s="21" t="s">
        <v>634</v>
      </c>
      <c r="N77" s="21" t="s">
        <v>634</v>
      </c>
      <c r="O77" s="21" t="s">
        <v>634</v>
      </c>
      <c r="P77" s="21" t="s">
        <v>634</v>
      </c>
      <c r="Q77" s="21" t="s">
        <v>634</v>
      </c>
      <c r="R77" s="21" t="s">
        <v>634</v>
      </c>
    </row>
    <row r="78" spans="1:18" x14ac:dyDescent="0.3">
      <c r="A78" s="21"/>
      <c r="B78" s="21" t="s">
        <v>14</v>
      </c>
      <c r="C78" s="21"/>
      <c r="D78" s="21"/>
      <c r="E78" s="21"/>
      <c r="F78" s="21"/>
      <c r="G78" s="21"/>
      <c r="H78" s="21"/>
      <c r="I78" s="21"/>
      <c r="J78" s="21"/>
      <c r="K78" s="21"/>
      <c r="L78" s="21"/>
      <c r="M78" s="21"/>
      <c r="N78" s="21"/>
      <c r="O78" s="21"/>
      <c r="P78" s="21"/>
      <c r="Q78" s="21"/>
      <c r="R78" s="21"/>
    </row>
    <row r="79" spans="1:18" x14ac:dyDescent="0.3">
      <c r="A79" s="21"/>
      <c r="B79" s="31"/>
      <c r="C79" s="21" t="s">
        <v>679</v>
      </c>
      <c r="D79" s="21"/>
      <c r="E79" s="21"/>
      <c r="F79" s="21"/>
      <c r="G79" s="21"/>
      <c r="H79" s="21"/>
      <c r="I79" s="21"/>
      <c r="J79" s="21"/>
      <c r="K79" s="21"/>
      <c r="L79" s="21"/>
      <c r="M79" s="21"/>
      <c r="N79" s="21"/>
      <c r="O79" s="21"/>
      <c r="P79" s="21"/>
      <c r="Q79" s="21"/>
      <c r="R79" s="21"/>
    </row>
    <row r="80" spans="1:18" x14ac:dyDescent="0.3">
      <c r="A80" s="20" t="s">
        <v>634</v>
      </c>
      <c r="C80" s="20" t="s">
        <v>680</v>
      </c>
      <c r="D80" s="20" t="s">
        <v>634</v>
      </c>
      <c r="E80" s="20" t="s">
        <v>634</v>
      </c>
      <c r="F80" s="20" t="s">
        <v>634</v>
      </c>
      <c r="G80" s="20" t="s">
        <v>634</v>
      </c>
      <c r="H80" s="20" t="s">
        <v>634</v>
      </c>
      <c r="I80" s="20" t="s">
        <v>634</v>
      </c>
      <c r="J80" s="20" t="s">
        <v>634</v>
      </c>
      <c r="K80" s="20" t="s">
        <v>634</v>
      </c>
      <c r="L80" s="20" t="s">
        <v>634</v>
      </c>
      <c r="M80" s="20" t="s">
        <v>634</v>
      </c>
      <c r="N80" s="20" t="s">
        <v>634</v>
      </c>
      <c r="O80" s="20" t="s">
        <v>634</v>
      </c>
      <c r="P80" s="20" t="s">
        <v>634</v>
      </c>
      <c r="Q80" s="20" t="s">
        <v>634</v>
      </c>
      <c r="R80" s="20" t="s">
        <v>634</v>
      </c>
    </row>
    <row r="81" spans="1:18" x14ac:dyDescent="0.3">
      <c r="A81" s="21" t="s">
        <v>634</v>
      </c>
      <c r="C81" s="21" t="s">
        <v>681</v>
      </c>
      <c r="D81" s="21" t="s">
        <v>634</v>
      </c>
      <c r="E81" s="21" t="s">
        <v>634</v>
      </c>
      <c r="F81" s="21" t="s">
        <v>634</v>
      </c>
      <c r="G81" s="21" t="s">
        <v>634</v>
      </c>
      <c r="H81" s="21" t="s">
        <v>634</v>
      </c>
      <c r="I81" s="21" t="s">
        <v>634</v>
      </c>
      <c r="J81" s="21" t="s">
        <v>634</v>
      </c>
      <c r="K81" s="21" t="s">
        <v>634</v>
      </c>
      <c r="L81" s="21" t="s">
        <v>634</v>
      </c>
      <c r="M81" s="21" t="s">
        <v>634</v>
      </c>
      <c r="N81" s="21" t="s">
        <v>634</v>
      </c>
      <c r="O81" s="21" t="s">
        <v>634</v>
      </c>
      <c r="P81" s="21" t="s">
        <v>634</v>
      </c>
      <c r="Q81" s="21" t="s">
        <v>634</v>
      </c>
      <c r="R81" s="21" t="s">
        <v>634</v>
      </c>
    </row>
    <row r="82" spans="1:18" x14ac:dyDescent="0.3">
      <c r="A82" s="20" t="s">
        <v>634</v>
      </c>
      <c r="C82" s="20" t="s">
        <v>682</v>
      </c>
      <c r="D82" s="20" t="s">
        <v>634</v>
      </c>
      <c r="E82" s="20" t="s">
        <v>634</v>
      </c>
      <c r="F82" s="20" t="s">
        <v>634</v>
      </c>
      <c r="G82" s="20" t="s">
        <v>634</v>
      </c>
      <c r="H82" s="20" t="s">
        <v>634</v>
      </c>
      <c r="I82" s="20" t="s">
        <v>634</v>
      </c>
      <c r="J82" s="20" t="s">
        <v>634</v>
      </c>
      <c r="K82" s="20" t="s">
        <v>634</v>
      </c>
      <c r="L82" s="20" t="s">
        <v>634</v>
      </c>
      <c r="M82" s="20" t="s">
        <v>634</v>
      </c>
      <c r="N82" s="20" t="s">
        <v>634</v>
      </c>
      <c r="O82" s="20" t="s">
        <v>634</v>
      </c>
      <c r="P82" s="20" t="s">
        <v>634</v>
      </c>
      <c r="Q82" s="20" t="s">
        <v>634</v>
      </c>
      <c r="R82" s="20" t="s">
        <v>634</v>
      </c>
    </row>
    <row r="83" spans="1:18" x14ac:dyDescent="0.3">
      <c r="A83" s="21" t="s">
        <v>634</v>
      </c>
      <c r="C83" s="21" t="s">
        <v>683</v>
      </c>
      <c r="D83" s="21" t="s">
        <v>634</v>
      </c>
      <c r="E83" s="21" t="s">
        <v>634</v>
      </c>
      <c r="F83" s="21" t="s">
        <v>634</v>
      </c>
      <c r="G83" s="21" t="s">
        <v>634</v>
      </c>
      <c r="H83" s="21" t="s">
        <v>634</v>
      </c>
      <c r="I83" s="21" t="s">
        <v>634</v>
      </c>
      <c r="J83" s="21" t="s">
        <v>634</v>
      </c>
      <c r="K83" s="21" t="s">
        <v>634</v>
      </c>
      <c r="L83" s="21" t="s">
        <v>634</v>
      </c>
      <c r="M83" s="21" t="s">
        <v>634</v>
      </c>
      <c r="N83" s="21" t="s">
        <v>634</v>
      </c>
      <c r="O83" s="21" t="s">
        <v>634</v>
      </c>
      <c r="P83" s="21" t="s">
        <v>634</v>
      </c>
      <c r="Q83" s="21" t="s">
        <v>634</v>
      </c>
      <c r="R83" s="21" t="s">
        <v>634</v>
      </c>
    </row>
    <row r="84" spans="1:18" x14ac:dyDescent="0.3">
      <c r="A84" s="21"/>
      <c r="C84" s="21" t="s">
        <v>487</v>
      </c>
      <c r="D84" s="21"/>
      <c r="E84" s="21"/>
      <c r="F84" s="21"/>
      <c r="G84" s="21"/>
      <c r="H84" s="21"/>
      <c r="I84" s="21"/>
      <c r="J84" s="21"/>
      <c r="K84" s="21"/>
      <c r="L84" s="21"/>
      <c r="M84" s="21"/>
      <c r="N84" s="21"/>
      <c r="O84" s="21"/>
      <c r="P84" s="21"/>
      <c r="Q84" s="21"/>
      <c r="R84" s="21"/>
    </row>
    <row r="85" spans="1:18" x14ac:dyDescent="0.3">
      <c r="A85" s="21"/>
      <c r="C85" s="21"/>
      <c r="D85" s="21" t="s">
        <v>684</v>
      </c>
      <c r="E85" s="21"/>
      <c r="F85" s="21"/>
      <c r="G85" s="21"/>
      <c r="H85" s="21"/>
      <c r="I85" s="21"/>
      <c r="J85" s="21"/>
      <c r="K85" s="21"/>
      <c r="L85" s="21"/>
      <c r="M85" s="21"/>
      <c r="N85" s="21"/>
      <c r="O85" s="21"/>
      <c r="P85" s="21"/>
      <c r="Q85" s="21"/>
      <c r="R85" s="21"/>
    </row>
    <row r="86" spans="1:18" x14ac:dyDescent="0.3">
      <c r="A86" s="21"/>
      <c r="C86" s="21"/>
      <c r="D86" s="21" t="s">
        <v>685</v>
      </c>
      <c r="E86" s="21"/>
      <c r="F86" s="21"/>
      <c r="G86" s="21"/>
      <c r="H86" s="21"/>
      <c r="I86" s="21"/>
      <c r="J86" s="21"/>
      <c r="K86" s="21"/>
      <c r="L86" s="21"/>
      <c r="M86" s="21"/>
      <c r="N86" s="21"/>
      <c r="O86" s="21"/>
      <c r="P86" s="21"/>
      <c r="Q86" s="21"/>
      <c r="R86" s="21"/>
    </row>
    <row r="87" spans="1:18" x14ac:dyDescent="0.3">
      <c r="A87" s="21"/>
      <c r="C87" s="21"/>
      <c r="D87" s="21" t="s">
        <v>686</v>
      </c>
      <c r="E87" s="21"/>
      <c r="F87" s="21"/>
      <c r="G87" s="21"/>
      <c r="H87" s="21"/>
      <c r="I87" s="21"/>
      <c r="J87" s="21"/>
      <c r="K87" s="21"/>
      <c r="L87" s="21"/>
      <c r="M87" s="21"/>
      <c r="N87" s="21"/>
      <c r="O87" s="21"/>
      <c r="P87" s="21"/>
      <c r="Q87" s="21"/>
      <c r="R87" s="21"/>
    </row>
    <row r="88" spans="1:18" x14ac:dyDescent="0.3">
      <c r="A88" s="21"/>
      <c r="C88" s="21"/>
      <c r="D88" s="21" t="s">
        <v>687</v>
      </c>
      <c r="E88" s="21"/>
      <c r="F88" s="21"/>
      <c r="G88" s="21"/>
      <c r="H88" s="21"/>
      <c r="I88" s="21"/>
      <c r="J88" s="21"/>
      <c r="K88" s="21"/>
      <c r="L88" s="21"/>
      <c r="M88" s="21"/>
      <c r="N88" s="21"/>
      <c r="O88" s="21"/>
      <c r="P88" s="21"/>
      <c r="Q88" s="21"/>
      <c r="R88" s="21"/>
    </row>
    <row r="89" spans="1:18" x14ac:dyDescent="0.3">
      <c r="A89" s="20" t="s">
        <v>634</v>
      </c>
      <c r="B89" s="20" t="s">
        <v>677</v>
      </c>
      <c r="C89" s="20" t="s">
        <v>634</v>
      </c>
      <c r="D89" s="20" t="s">
        <v>688</v>
      </c>
      <c r="E89" s="20" t="s">
        <v>634</v>
      </c>
      <c r="F89" s="20" t="s">
        <v>634</v>
      </c>
      <c r="G89" s="20" t="s">
        <v>634</v>
      </c>
      <c r="H89" s="20" t="s">
        <v>634</v>
      </c>
      <c r="I89" s="20" t="s">
        <v>634</v>
      </c>
      <c r="J89" s="20" t="s">
        <v>634</v>
      </c>
      <c r="K89" s="20" t="s">
        <v>634</v>
      </c>
      <c r="L89" s="20" t="s">
        <v>634</v>
      </c>
      <c r="M89" s="20" t="s">
        <v>634</v>
      </c>
      <c r="N89" s="20" t="s">
        <v>634</v>
      </c>
      <c r="O89" s="20" t="s">
        <v>634</v>
      </c>
      <c r="P89" s="20" t="s">
        <v>634</v>
      </c>
      <c r="Q89" s="20" t="s">
        <v>634</v>
      </c>
      <c r="R89" s="20" t="s">
        <v>634</v>
      </c>
    </row>
    <row r="90" spans="1:18" x14ac:dyDescent="0.3">
      <c r="A90" s="21" t="s">
        <v>634</v>
      </c>
      <c r="B90" s="21" t="s">
        <v>634</v>
      </c>
      <c r="C90" s="21" t="s">
        <v>16</v>
      </c>
      <c r="D90" s="21" t="s">
        <v>634</v>
      </c>
      <c r="E90" s="21" t="s">
        <v>634</v>
      </c>
      <c r="F90" s="21" t="s">
        <v>634</v>
      </c>
      <c r="G90" s="21" t="s">
        <v>634</v>
      </c>
      <c r="H90" s="21" t="s">
        <v>634</v>
      </c>
      <c r="I90" s="21" t="s">
        <v>634</v>
      </c>
      <c r="J90" s="21" t="s">
        <v>634</v>
      </c>
      <c r="K90" s="21" t="s">
        <v>634</v>
      </c>
      <c r="L90" s="21" t="s">
        <v>634</v>
      </c>
      <c r="M90" s="21" t="s">
        <v>634</v>
      </c>
      <c r="N90" s="21" t="s">
        <v>634</v>
      </c>
      <c r="O90" s="21" t="s">
        <v>634</v>
      </c>
      <c r="P90" s="21" t="s">
        <v>634</v>
      </c>
      <c r="Q90" s="21" t="s">
        <v>634</v>
      </c>
      <c r="R90" s="21" t="s">
        <v>634</v>
      </c>
    </row>
    <row r="91" spans="1:18" x14ac:dyDescent="0.3">
      <c r="A91" s="20" t="s">
        <v>634</v>
      </c>
      <c r="B91" s="20" t="s">
        <v>634</v>
      </c>
      <c r="C91" s="20" t="s">
        <v>689</v>
      </c>
      <c r="D91" s="20" t="s">
        <v>690</v>
      </c>
      <c r="E91" s="20" t="s">
        <v>634</v>
      </c>
      <c r="F91" s="20" t="s">
        <v>634</v>
      </c>
      <c r="G91" s="20" t="s">
        <v>634</v>
      </c>
      <c r="H91" s="20" t="s">
        <v>634</v>
      </c>
      <c r="I91" s="20" t="s">
        <v>634</v>
      </c>
      <c r="J91" s="20" t="s">
        <v>634</v>
      </c>
      <c r="K91" s="20" t="s">
        <v>634</v>
      </c>
      <c r="L91" s="20" t="s">
        <v>634</v>
      </c>
      <c r="M91" s="20" t="s">
        <v>634</v>
      </c>
      <c r="N91" s="20" t="s">
        <v>634</v>
      </c>
      <c r="O91" s="20" t="s">
        <v>634</v>
      </c>
      <c r="P91" s="20" t="s">
        <v>634</v>
      </c>
      <c r="Q91" s="20" t="s">
        <v>634</v>
      </c>
      <c r="R91" s="20" t="s">
        <v>634</v>
      </c>
    </row>
    <row r="92" spans="1:18" x14ac:dyDescent="0.3">
      <c r="A92" s="21" t="s">
        <v>634</v>
      </c>
      <c r="B92" s="21" t="s">
        <v>634</v>
      </c>
      <c r="C92" s="21" t="s">
        <v>691</v>
      </c>
      <c r="D92" s="21" t="s">
        <v>634</v>
      </c>
      <c r="E92" s="21" t="s">
        <v>634</v>
      </c>
      <c r="F92" s="21" t="s">
        <v>634</v>
      </c>
      <c r="G92" s="21" t="s">
        <v>634</v>
      </c>
      <c r="H92" s="21" t="s">
        <v>634</v>
      </c>
      <c r="I92" s="21" t="s">
        <v>634</v>
      </c>
      <c r="J92" s="21" t="s">
        <v>634</v>
      </c>
      <c r="K92" s="21" t="s">
        <v>634</v>
      </c>
      <c r="L92" s="21" t="s">
        <v>634</v>
      </c>
      <c r="M92" s="21" t="s">
        <v>634</v>
      </c>
      <c r="N92" s="21" t="s">
        <v>634</v>
      </c>
      <c r="O92" s="21" t="s">
        <v>634</v>
      </c>
      <c r="P92" s="21" t="s">
        <v>634</v>
      </c>
      <c r="Q92" s="21" t="s">
        <v>634</v>
      </c>
      <c r="R92" s="21" t="s">
        <v>634</v>
      </c>
    </row>
    <row r="93" spans="1:18" x14ac:dyDescent="0.3">
      <c r="A93" s="20" t="s">
        <v>634</v>
      </c>
      <c r="B93" s="20" t="s">
        <v>634</v>
      </c>
      <c r="C93" s="20" t="s">
        <v>692</v>
      </c>
      <c r="D93" s="20" t="s">
        <v>693</v>
      </c>
      <c r="E93" s="20" t="s">
        <v>634</v>
      </c>
      <c r="F93" s="20" t="s">
        <v>634</v>
      </c>
      <c r="G93" s="20" t="s">
        <v>634</v>
      </c>
      <c r="H93" s="20" t="s">
        <v>634</v>
      </c>
      <c r="I93" s="20" t="s">
        <v>634</v>
      </c>
      <c r="J93" s="20" t="s">
        <v>634</v>
      </c>
      <c r="K93" s="20" t="s">
        <v>634</v>
      </c>
      <c r="L93" s="20" t="s">
        <v>634</v>
      </c>
      <c r="M93" s="20" t="s">
        <v>634</v>
      </c>
      <c r="N93" s="20" t="s">
        <v>634</v>
      </c>
      <c r="O93" s="20" t="s">
        <v>634</v>
      </c>
      <c r="P93" s="20" t="s">
        <v>634</v>
      </c>
      <c r="Q93" s="20" t="s">
        <v>634</v>
      </c>
      <c r="R93" s="20" t="s">
        <v>634</v>
      </c>
    </row>
    <row r="94" spans="1:18" x14ac:dyDescent="0.3">
      <c r="A94" s="21" t="s">
        <v>634</v>
      </c>
      <c r="B94" s="21" t="s">
        <v>634</v>
      </c>
      <c r="C94" s="21" t="s">
        <v>634</v>
      </c>
      <c r="D94" s="21" t="s">
        <v>694</v>
      </c>
      <c r="E94" s="21" t="s">
        <v>634</v>
      </c>
      <c r="F94" s="21" t="s">
        <v>634</v>
      </c>
      <c r="G94" s="21" t="s">
        <v>634</v>
      </c>
      <c r="H94" s="21" t="s">
        <v>634</v>
      </c>
      <c r="I94" s="21" t="s">
        <v>634</v>
      </c>
      <c r="J94" s="21" t="s">
        <v>634</v>
      </c>
      <c r="K94" s="21" t="s">
        <v>634</v>
      </c>
      <c r="L94" s="21" t="s">
        <v>634</v>
      </c>
      <c r="M94" s="21" t="s">
        <v>634</v>
      </c>
      <c r="N94" s="21" t="s">
        <v>634</v>
      </c>
      <c r="O94" s="21" t="s">
        <v>634</v>
      </c>
      <c r="P94" s="21" t="s">
        <v>634</v>
      </c>
      <c r="Q94" s="21" t="s">
        <v>634</v>
      </c>
      <c r="R94" s="21" t="s">
        <v>634</v>
      </c>
    </row>
    <row r="95" spans="1:18" x14ac:dyDescent="0.3">
      <c r="A95" s="20" t="s">
        <v>634</v>
      </c>
      <c r="B95" s="20" t="s">
        <v>634</v>
      </c>
      <c r="C95" s="20" t="s">
        <v>634</v>
      </c>
      <c r="D95" s="20" t="s">
        <v>695</v>
      </c>
      <c r="E95" s="20" t="s">
        <v>634</v>
      </c>
      <c r="F95" s="20" t="s">
        <v>634</v>
      </c>
      <c r="G95" s="20" t="s">
        <v>634</v>
      </c>
      <c r="H95" s="20" t="s">
        <v>634</v>
      </c>
      <c r="I95" s="20" t="s">
        <v>634</v>
      </c>
      <c r="J95" s="20" t="s">
        <v>634</v>
      </c>
      <c r="K95" s="20" t="s">
        <v>634</v>
      </c>
      <c r="L95" s="20" t="s">
        <v>634</v>
      </c>
      <c r="M95" s="20" t="s">
        <v>634</v>
      </c>
      <c r="N95" s="20" t="s">
        <v>634</v>
      </c>
      <c r="O95" s="20" t="s">
        <v>634</v>
      </c>
      <c r="P95" s="20" t="s">
        <v>634</v>
      </c>
      <c r="Q95" s="20" t="s">
        <v>634</v>
      </c>
      <c r="R95" s="20" t="s">
        <v>634</v>
      </c>
    </row>
    <row r="96" spans="1:18" x14ac:dyDescent="0.3">
      <c r="A96" s="21" t="s">
        <v>634</v>
      </c>
      <c r="B96" s="21" t="s">
        <v>634</v>
      </c>
      <c r="C96" s="21" t="s">
        <v>634</v>
      </c>
      <c r="D96" s="21" t="s">
        <v>696</v>
      </c>
      <c r="E96" s="21" t="s">
        <v>634</v>
      </c>
      <c r="F96" s="21" t="s">
        <v>634</v>
      </c>
      <c r="G96" s="21" t="s">
        <v>634</v>
      </c>
      <c r="H96" s="21" t="s">
        <v>634</v>
      </c>
      <c r="I96" s="21" t="s">
        <v>634</v>
      </c>
      <c r="J96" s="21" t="s">
        <v>634</v>
      </c>
      <c r="K96" s="21" t="s">
        <v>634</v>
      </c>
      <c r="L96" s="21" t="s">
        <v>634</v>
      </c>
      <c r="M96" s="21" t="s">
        <v>634</v>
      </c>
      <c r="N96" s="21" t="s">
        <v>634</v>
      </c>
      <c r="O96" s="21" t="s">
        <v>634</v>
      </c>
      <c r="P96" s="21" t="s">
        <v>634</v>
      </c>
      <c r="Q96" s="21" t="s">
        <v>634</v>
      </c>
      <c r="R96" s="21" t="s">
        <v>634</v>
      </c>
    </row>
    <row r="97" spans="1:18" x14ac:dyDescent="0.3">
      <c r="A97" s="20" t="s">
        <v>634</v>
      </c>
      <c r="B97" s="20" t="s">
        <v>634</v>
      </c>
      <c r="C97" s="20" t="s">
        <v>634</v>
      </c>
      <c r="D97" s="20" t="s">
        <v>697</v>
      </c>
      <c r="E97" s="20" t="s">
        <v>634</v>
      </c>
      <c r="F97" s="20" t="s">
        <v>634</v>
      </c>
      <c r="G97" s="20" t="s">
        <v>634</v>
      </c>
      <c r="H97" s="20" t="s">
        <v>634</v>
      </c>
      <c r="I97" s="20" t="s">
        <v>634</v>
      </c>
      <c r="J97" s="20" t="s">
        <v>634</v>
      </c>
      <c r="K97" s="20" t="s">
        <v>634</v>
      </c>
      <c r="L97" s="20" t="s">
        <v>634</v>
      </c>
      <c r="M97" s="20" t="s">
        <v>634</v>
      </c>
      <c r="N97" s="20" t="s">
        <v>634</v>
      </c>
      <c r="O97" s="20" t="s">
        <v>634</v>
      </c>
      <c r="P97" s="20" t="s">
        <v>634</v>
      </c>
      <c r="Q97" s="20" t="s">
        <v>634</v>
      </c>
      <c r="R97" s="20" t="s">
        <v>634</v>
      </c>
    </row>
    <row r="98" spans="1:18" x14ac:dyDescent="0.3">
      <c r="A98" s="21" t="s">
        <v>634</v>
      </c>
      <c r="B98" s="21" t="s">
        <v>634</v>
      </c>
      <c r="C98" s="21" t="s">
        <v>698</v>
      </c>
      <c r="D98" s="21" t="s">
        <v>690</v>
      </c>
      <c r="E98" s="21" t="s">
        <v>634</v>
      </c>
      <c r="F98" s="21" t="s">
        <v>634</v>
      </c>
      <c r="G98" s="21" t="s">
        <v>634</v>
      </c>
      <c r="H98" s="21" t="s">
        <v>634</v>
      </c>
      <c r="I98" s="21" t="s">
        <v>634</v>
      </c>
      <c r="J98" s="21" t="s">
        <v>634</v>
      </c>
      <c r="K98" s="21" t="s">
        <v>634</v>
      </c>
      <c r="L98" s="21" t="s">
        <v>634</v>
      </c>
      <c r="M98" s="21" t="s">
        <v>634</v>
      </c>
      <c r="N98" s="21" t="s">
        <v>634</v>
      </c>
      <c r="O98" s="21" t="s">
        <v>634</v>
      </c>
      <c r="P98" s="21" t="s">
        <v>634</v>
      </c>
      <c r="Q98" s="21" t="s">
        <v>634</v>
      </c>
      <c r="R98" s="21" t="s">
        <v>634</v>
      </c>
    </row>
    <row r="99" spans="1:18" x14ac:dyDescent="0.3">
      <c r="A99" s="20" t="s">
        <v>634</v>
      </c>
      <c r="B99" s="20" t="s">
        <v>634</v>
      </c>
      <c r="C99" s="20" t="s">
        <v>691</v>
      </c>
      <c r="D99" s="20" t="s">
        <v>634</v>
      </c>
      <c r="E99" s="20" t="s">
        <v>634</v>
      </c>
      <c r="F99" s="20" t="s">
        <v>634</v>
      </c>
      <c r="G99" s="20" t="s">
        <v>634</v>
      </c>
      <c r="H99" s="20" t="s">
        <v>634</v>
      </c>
      <c r="I99" s="20" t="s">
        <v>634</v>
      </c>
      <c r="J99" s="20" t="s">
        <v>634</v>
      </c>
      <c r="K99" s="20" t="s">
        <v>634</v>
      </c>
      <c r="L99" s="20" t="s">
        <v>634</v>
      </c>
      <c r="M99" s="20" t="s">
        <v>634</v>
      </c>
      <c r="N99" s="20" t="s">
        <v>634</v>
      </c>
      <c r="O99" s="20" t="s">
        <v>634</v>
      </c>
      <c r="P99" s="20" t="s">
        <v>634</v>
      </c>
      <c r="Q99" s="20" t="s">
        <v>634</v>
      </c>
      <c r="R99" s="20" t="s">
        <v>634</v>
      </c>
    </row>
    <row r="100" spans="1:18" x14ac:dyDescent="0.3">
      <c r="A100" s="21" t="s">
        <v>634</v>
      </c>
      <c r="B100" s="21" t="s">
        <v>634</v>
      </c>
      <c r="C100" s="21" t="s">
        <v>692</v>
      </c>
      <c r="D100" s="21" t="s">
        <v>693</v>
      </c>
      <c r="E100" s="21" t="s">
        <v>634</v>
      </c>
      <c r="F100" s="21" t="s">
        <v>634</v>
      </c>
      <c r="G100" s="21" t="s">
        <v>634</v>
      </c>
      <c r="H100" s="21" t="s">
        <v>634</v>
      </c>
      <c r="I100" s="21" t="s">
        <v>634</v>
      </c>
      <c r="J100" s="21" t="s">
        <v>634</v>
      </c>
      <c r="K100" s="21" t="s">
        <v>634</v>
      </c>
      <c r="L100" s="21" t="s">
        <v>634</v>
      </c>
      <c r="M100" s="21" t="s">
        <v>634</v>
      </c>
      <c r="N100" s="21" t="s">
        <v>634</v>
      </c>
      <c r="O100" s="21" t="s">
        <v>634</v>
      </c>
      <c r="P100" s="21" t="s">
        <v>634</v>
      </c>
      <c r="Q100" s="21" t="s">
        <v>634</v>
      </c>
      <c r="R100" s="21" t="s">
        <v>634</v>
      </c>
    </row>
    <row r="101" spans="1:18" x14ac:dyDescent="0.3">
      <c r="A101" s="20" t="s">
        <v>634</v>
      </c>
      <c r="B101" s="20" t="s">
        <v>634</v>
      </c>
      <c r="C101" s="20" t="s">
        <v>634</v>
      </c>
      <c r="D101" s="20" t="s">
        <v>694</v>
      </c>
      <c r="E101" s="20" t="s">
        <v>634</v>
      </c>
      <c r="F101" s="20" t="s">
        <v>634</v>
      </c>
      <c r="G101" s="20" t="s">
        <v>634</v>
      </c>
      <c r="H101" s="20" t="s">
        <v>634</v>
      </c>
      <c r="I101" s="20" t="s">
        <v>634</v>
      </c>
      <c r="J101" s="20" t="s">
        <v>634</v>
      </c>
      <c r="K101" s="20" t="s">
        <v>634</v>
      </c>
      <c r="L101" s="20" t="s">
        <v>634</v>
      </c>
      <c r="M101" s="20" t="s">
        <v>634</v>
      </c>
      <c r="N101" s="20" t="s">
        <v>634</v>
      </c>
      <c r="O101" s="20" t="s">
        <v>634</v>
      </c>
      <c r="P101" s="20" t="s">
        <v>634</v>
      </c>
      <c r="Q101" s="20" t="s">
        <v>634</v>
      </c>
      <c r="R101" s="20" t="s">
        <v>634</v>
      </c>
    </row>
    <row r="102" spans="1:18" x14ac:dyDescent="0.3">
      <c r="A102" s="21" t="s">
        <v>634</v>
      </c>
      <c r="B102" s="21" t="s">
        <v>634</v>
      </c>
      <c r="C102" s="21" t="s">
        <v>634</v>
      </c>
      <c r="D102" s="21" t="s">
        <v>695</v>
      </c>
      <c r="E102" s="21" t="s">
        <v>634</v>
      </c>
      <c r="F102" s="21" t="s">
        <v>634</v>
      </c>
      <c r="G102" s="21" t="s">
        <v>634</v>
      </c>
      <c r="H102" s="21" t="s">
        <v>634</v>
      </c>
      <c r="I102" s="21" t="s">
        <v>634</v>
      </c>
      <c r="J102" s="21" t="s">
        <v>634</v>
      </c>
      <c r="K102" s="21" t="s">
        <v>634</v>
      </c>
      <c r="L102" s="21" t="s">
        <v>634</v>
      </c>
      <c r="M102" s="21" t="s">
        <v>634</v>
      </c>
      <c r="N102" s="21" t="s">
        <v>634</v>
      </c>
      <c r="O102" s="21" t="s">
        <v>634</v>
      </c>
      <c r="P102" s="21" t="s">
        <v>634</v>
      </c>
      <c r="Q102" s="21" t="s">
        <v>634</v>
      </c>
      <c r="R102" s="21" t="s">
        <v>634</v>
      </c>
    </row>
    <row r="103" spans="1:18" x14ac:dyDescent="0.3">
      <c r="A103" s="20" t="s">
        <v>634</v>
      </c>
      <c r="B103" s="20" t="s">
        <v>634</v>
      </c>
      <c r="C103" s="20" t="s">
        <v>634</v>
      </c>
      <c r="D103" s="20" t="s">
        <v>696</v>
      </c>
      <c r="E103" s="20" t="s">
        <v>634</v>
      </c>
      <c r="F103" s="20" t="s">
        <v>634</v>
      </c>
      <c r="G103" s="20" t="s">
        <v>634</v>
      </c>
      <c r="H103" s="20" t="s">
        <v>634</v>
      </c>
      <c r="I103" s="20" t="s">
        <v>634</v>
      </c>
      <c r="J103" s="20" t="s">
        <v>634</v>
      </c>
      <c r="K103" s="20" t="s">
        <v>634</v>
      </c>
      <c r="L103" s="20" t="s">
        <v>634</v>
      </c>
      <c r="M103" s="20" t="s">
        <v>634</v>
      </c>
      <c r="N103" s="20" t="s">
        <v>634</v>
      </c>
      <c r="O103" s="20" t="s">
        <v>634</v>
      </c>
      <c r="P103" s="20" t="s">
        <v>634</v>
      </c>
      <c r="Q103" s="20" t="s">
        <v>634</v>
      </c>
      <c r="R103" s="20" t="s">
        <v>634</v>
      </c>
    </row>
    <row r="104" spans="1:18" x14ac:dyDescent="0.3">
      <c r="A104" s="21" t="s">
        <v>634</v>
      </c>
      <c r="B104" s="21" t="s">
        <v>634</v>
      </c>
      <c r="C104" s="21" t="s">
        <v>634</v>
      </c>
      <c r="D104" s="21" t="s">
        <v>697</v>
      </c>
      <c r="E104" s="21" t="s">
        <v>634</v>
      </c>
      <c r="F104" s="21" t="s">
        <v>634</v>
      </c>
      <c r="G104" s="21" t="s">
        <v>634</v>
      </c>
      <c r="H104" s="21" t="s">
        <v>634</v>
      </c>
      <c r="I104" s="21" t="s">
        <v>634</v>
      </c>
      <c r="J104" s="21" t="s">
        <v>634</v>
      </c>
      <c r="K104" s="21" t="s">
        <v>634</v>
      </c>
      <c r="L104" s="21" t="s">
        <v>634</v>
      </c>
      <c r="M104" s="21" t="s">
        <v>634</v>
      </c>
      <c r="N104" s="21" t="s">
        <v>634</v>
      </c>
      <c r="O104" s="21" t="s">
        <v>634</v>
      </c>
      <c r="P104" s="21" t="s">
        <v>634</v>
      </c>
      <c r="Q104" s="21" t="s">
        <v>634</v>
      </c>
      <c r="R104" s="21" t="s">
        <v>634</v>
      </c>
    </row>
    <row r="105" spans="1:18" x14ac:dyDescent="0.3">
      <c r="A105" s="20" t="s">
        <v>634</v>
      </c>
      <c r="B105" s="20" t="s">
        <v>634</v>
      </c>
      <c r="C105" s="20" t="s">
        <v>699</v>
      </c>
      <c r="D105" s="20" t="s">
        <v>634</v>
      </c>
      <c r="E105" s="20" t="s">
        <v>634</v>
      </c>
      <c r="F105" s="20" t="s">
        <v>634</v>
      </c>
      <c r="G105" s="20" t="s">
        <v>634</v>
      </c>
      <c r="H105" s="20" t="s">
        <v>634</v>
      </c>
      <c r="I105" s="20" t="s">
        <v>634</v>
      </c>
      <c r="J105" s="20" t="s">
        <v>634</v>
      </c>
      <c r="K105" s="20" t="s">
        <v>634</v>
      </c>
      <c r="L105" s="20" t="s">
        <v>634</v>
      </c>
      <c r="M105" s="20" t="s">
        <v>634</v>
      </c>
      <c r="N105" s="20" t="s">
        <v>634</v>
      </c>
      <c r="O105" s="20" t="s">
        <v>634</v>
      </c>
      <c r="P105" s="20" t="s">
        <v>634</v>
      </c>
      <c r="Q105" s="20" t="s">
        <v>634</v>
      </c>
      <c r="R105" s="20" t="s">
        <v>634</v>
      </c>
    </row>
    <row r="106" spans="1:18" x14ac:dyDescent="0.3">
      <c r="A106" s="21" t="s">
        <v>634</v>
      </c>
      <c r="B106" s="21" t="s">
        <v>634</v>
      </c>
      <c r="C106" s="21" t="s">
        <v>700</v>
      </c>
      <c r="D106" s="21" t="s">
        <v>634</v>
      </c>
      <c r="E106" s="21" t="s">
        <v>634</v>
      </c>
      <c r="F106" s="21" t="s">
        <v>634</v>
      </c>
      <c r="G106" s="21" t="s">
        <v>634</v>
      </c>
      <c r="H106" s="21" t="s">
        <v>634</v>
      </c>
      <c r="I106" s="21" t="s">
        <v>634</v>
      </c>
      <c r="J106" s="21" t="s">
        <v>634</v>
      </c>
      <c r="K106" s="21" t="s">
        <v>634</v>
      </c>
      <c r="L106" s="21" t="s">
        <v>634</v>
      </c>
      <c r="M106" s="21" t="s">
        <v>634</v>
      </c>
      <c r="N106" s="21" t="s">
        <v>634</v>
      </c>
      <c r="O106" s="21" t="s">
        <v>634</v>
      </c>
      <c r="P106" s="21" t="s">
        <v>634</v>
      </c>
      <c r="Q106" s="21" t="s">
        <v>634</v>
      </c>
      <c r="R106" s="21" t="s">
        <v>634</v>
      </c>
    </row>
    <row r="107" spans="1:18" x14ac:dyDescent="0.3">
      <c r="A107" s="20" t="s">
        <v>634</v>
      </c>
      <c r="B107" s="20" t="s">
        <v>634</v>
      </c>
      <c r="C107" s="20" t="s">
        <v>701</v>
      </c>
      <c r="D107" s="20" t="s">
        <v>642</v>
      </c>
      <c r="E107" s="20" t="s">
        <v>634</v>
      </c>
      <c r="F107" s="20" t="s">
        <v>634</v>
      </c>
      <c r="G107" s="20" t="s">
        <v>634</v>
      </c>
      <c r="H107" s="20" t="s">
        <v>634</v>
      </c>
      <c r="I107" s="20" t="s">
        <v>634</v>
      </c>
      <c r="J107" s="20" t="s">
        <v>634</v>
      </c>
      <c r="K107" s="20" t="s">
        <v>634</v>
      </c>
      <c r="L107" s="20" t="s">
        <v>634</v>
      </c>
      <c r="M107" s="20" t="s">
        <v>634</v>
      </c>
      <c r="N107" s="20" t="s">
        <v>634</v>
      </c>
      <c r="O107" s="20" t="s">
        <v>634</v>
      </c>
      <c r="P107" s="20" t="s">
        <v>634</v>
      </c>
      <c r="Q107" s="20" t="s">
        <v>634</v>
      </c>
      <c r="R107" s="20" t="s">
        <v>634</v>
      </c>
    </row>
    <row r="108" spans="1:18" x14ac:dyDescent="0.3">
      <c r="A108" s="21" t="s">
        <v>634</v>
      </c>
      <c r="B108" s="21" t="s">
        <v>634</v>
      </c>
      <c r="C108" s="21" t="s">
        <v>634</v>
      </c>
      <c r="D108" s="21" t="s">
        <v>702</v>
      </c>
      <c r="E108" s="21" t="s">
        <v>634</v>
      </c>
      <c r="F108" s="21" t="s">
        <v>634</v>
      </c>
      <c r="G108" s="21" t="s">
        <v>634</v>
      </c>
      <c r="H108" s="21" t="s">
        <v>634</v>
      </c>
      <c r="I108" s="21" t="s">
        <v>634</v>
      </c>
      <c r="J108" s="21" t="s">
        <v>634</v>
      </c>
      <c r="K108" s="21" t="s">
        <v>634</v>
      </c>
      <c r="L108" s="21" t="s">
        <v>634</v>
      </c>
      <c r="M108" s="21" t="s">
        <v>634</v>
      </c>
      <c r="N108" s="21" t="s">
        <v>634</v>
      </c>
      <c r="O108" s="21" t="s">
        <v>634</v>
      </c>
      <c r="P108" s="21" t="s">
        <v>634</v>
      </c>
      <c r="Q108" s="21" t="s">
        <v>634</v>
      </c>
      <c r="R108" s="21" t="s">
        <v>634</v>
      </c>
    </row>
    <row r="109" spans="1:18" x14ac:dyDescent="0.3">
      <c r="A109" s="20" t="s">
        <v>634</v>
      </c>
      <c r="B109" s="20" t="s">
        <v>634</v>
      </c>
      <c r="C109" s="20" t="s">
        <v>703</v>
      </c>
      <c r="D109" s="20" t="s">
        <v>634</v>
      </c>
      <c r="E109" s="20" t="s">
        <v>634</v>
      </c>
      <c r="F109" s="20" t="s">
        <v>634</v>
      </c>
      <c r="G109" s="20" t="s">
        <v>634</v>
      </c>
      <c r="H109" s="20" t="s">
        <v>634</v>
      </c>
      <c r="I109" s="20" t="s">
        <v>634</v>
      </c>
      <c r="J109" s="20" t="s">
        <v>634</v>
      </c>
      <c r="K109" s="20" t="s">
        <v>634</v>
      </c>
      <c r="L109" s="20" t="s">
        <v>634</v>
      </c>
      <c r="M109" s="20" t="s">
        <v>634</v>
      </c>
      <c r="N109" s="20" t="s">
        <v>634</v>
      </c>
      <c r="O109" s="20" t="s">
        <v>634</v>
      </c>
      <c r="P109" s="20" t="s">
        <v>634</v>
      </c>
      <c r="Q109" s="20" t="s">
        <v>634</v>
      </c>
      <c r="R109" s="20" t="s">
        <v>634</v>
      </c>
    </row>
    <row r="110" spans="1:18" x14ac:dyDescent="0.3">
      <c r="A110" s="21" t="s">
        <v>634</v>
      </c>
      <c r="B110" s="21" t="s">
        <v>634</v>
      </c>
      <c r="C110" s="21" t="s">
        <v>704</v>
      </c>
      <c r="D110" s="21" t="s">
        <v>634</v>
      </c>
      <c r="E110" s="21" t="s">
        <v>634</v>
      </c>
      <c r="F110" s="21" t="s">
        <v>634</v>
      </c>
      <c r="G110" s="21" t="s">
        <v>634</v>
      </c>
      <c r="H110" s="21" t="s">
        <v>634</v>
      </c>
      <c r="I110" s="21" t="s">
        <v>634</v>
      </c>
      <c r="J110" s="21" t="s">
        <v>634</v>
      </c>
      <c r="K110" s="21" t="s">
        <v>634</v>
      </c>
      <c r="L110" s="21" t="s">
        <v>634</v>
      </c>
      <c r="M110" s="21" t="s">
        <v>634</v>
      </c>
      <c r="N110" s="21" t="s">
        <v>634</v>
      </c>
      <c r="O110" s="21" t="s">
        <v>634</v>
      </c>
      <c r="P110" s="21" t="s">
        <v>634</v>
      </c>
      <c r="Q110" s="21" t="s">
        <v>634</v>
      </c>
      <c r="R110" s="21" t="s">
        <v>634</v>
      </c>
    </row>
    <row r="111" spans="1:18" x14ac:dyDescent="0.3">
      <c r="A111" s="20" t="s">
        <v>634</v>
      </c>
      <c r="B111" s="20" t="s">
        <v>705</v>
      </c>
      <c r="C111" s="20" t="s">
        <v>634</v>
      </c>
      <c r="D111" s="20" t="s">
        <v>634</v>
      </c>
      <c r="E111" s="20" t="s">
        <v>634</v>
      </c>
      <c r="F111" s="20" t="s">
        <v>634</v>
      </c>
      <c r="G111" s="20" t="s">
        <v>634</v>
      </c>
      <c r="H111" s="20" t="s">
        <v>634</v>
      </c>
      <c r="I111" s="20" t="s">
        <v>634</v>
      </c>
      <c r="J111" s="20" t="s">
        <v>634</v>
      </c>
      <c r="K111" s="20" t="s">
        <v>634</v>
      </c>
      <c r="L111" s="20" t="s">
        <v>634</v>
      </c>
      <c r="M111" s="20" t="s">
        <v>634</v>
      </c>
      <c r="N111" s="20" t="s">
        <v>634</v>
      </c>
      <c r="O111" s="20" t="s">
        <v>634</v>
      </c>
      <c r="P111" s="20" t="s">
        <v>634</v>
      </c>
      <c r="Q111" s="20" t="s">
        <v>634</v>
      </c>
      <c r="R111" s="20" t="s">
        <v>634</v>
      </c>
    </row>
    <row r="112" spans="1:18" x14ac:dyDescent="0.3">
      <c r="A112" s="21" t="s">
        <v>634</v>
      </c>
      <c r="B112" s="21" t="s">
        <v>634</v>
      </c>
      <c r="C112" s="21" t="s">
        <v>706</v>
      </c>
      <c r="D112" s="21" t="s">
        <v>634</v>
      </c>
      <c r="E112" s="21" t="s">
        <v>634</v>
      </c>
      <c r="F112" s="21" t="s">
        <v>634</v>
      </c>
      <c r="G112" s="21" t="s">
        <v>634</v>
      </c>
      <c r="H112" s="21" t="s">
        <v>634</v>
      </c>
      <c r="I112" s="21" t="s">
        <v>634</v>
      </c>
      <c r="J112" s="21" t="s">
        <v>634</v>
      </c>
      <c r="K112" s="21" t="s">
        <v>634</v>
      </c>
      <c r="L112" s="21" t="s">
        <v>634</v>
      </c>
      <c r="M112" s="21" t="s">
        <v>634</v>
      </c>
      <c r="N112" s="21" t="s">
        <v>634</v>
      </c>
      <c r="O112" s="21" t="s">
        <v>634</v>
      </c>
      <c r="P112" s="21" t="s">
        <v>634</v>
      </c>
      <c r="Q112" s="21" t="s">
        <v>634</v>
      </c>
      <c r="R112" s="21" t="s">
        <v>634</v>
      </c>
    </row>
    <row r="113" spans="1:18" x14ac:dyDescent="0.3">
      <c r="A113" s="20" t="s">
        <v>634</v>
      </c>
      <c r="B113" s="20" t="s">
        <v>634</v>
      </c>
      <c r="C113" s="20" t="s">
        <v>642</v>
      </c>
      <c r="D113" s="20" t="s">
        <v>634</v>
      </c>
      <c r="E113" s="20" t="s">
        <v>634</v>
      </c>
      <c r="F113" s="20" t="s">
        <v>634</v>
      </c>
      <c r="G113" s="20" t="s">
        <v>634</v>
      </c>
      <c r="H113" s="20" t="s">
        <v>634</v>
      </c>
      <c r="I113" s="20" t="s">
        <v>634</v>
      </c>
      <c r="J113" s="20" t="s">
        <v>634</v>
      </c>
      <c r="K113" s="20" t="s">
        <v>634</v>
      </c>
      <c r="L113" s="20" t="s">
        <v>634</v>
      </c>
      <c r="M113" s="20" t="s">
        <v>634</v>
      </c>
      <c r="N113" s="20" t="s">
        <v>634</v>
      </c>
      <c r="O113" s="20" t="s">
        <v>634</v>
      </c>
      <c r="P113" s="20" t="s">
        <v>634</v>
      </c>
      <c r="Q113" s="20" t="s">
        <v>634</v>
      </c>
      <c r="R113" s="20" t="s">
        <v>634</v>
      </c>
    </row>
    <row r="114" spans="1:18" x14ac:dyDescent="0.3">
      <c r="A114" s="21" t="s">
        <v>634</v>
      </c>
      <c r="B114" s="21" t="s">
        <v>634</v>
      </c>
      <c r="C114" s="21" t="s">
        <v>707</v>
      </c>
      <c r="D114" s="21" t="s">
        <v>634</v>
      </c>
      <c r="E114" s="21" t="s">
        <v>634</v>
      </c>
      <c r="F114" s="21" t="s">
        <v>634</v>
      </c>
      <c r="G114" s="21" t="s">
        <v>634</v>
      </c>
      <c r="H114" s="21" t="s">
        <v>634</v>
      </c>
      <c r="I114" s="21" t="s">
        <v>634</v>
      </c>
      <c r="J114" s="21" t="s">
        <v>634</v>
      </c>
      <c r="K114" s="21" t="s">
        <v>634</v>
      </c>
      <c r="L114" s="21" t="s">
        <v>634</v>
      </c>
      <c r="M114" s="21" t="s">
        <v>634</v>
      </c>
      <c r="N114" s="21" t="s">
        <v>634</v>
      </c>
      <c r="O114" s="21" t="s">
        <v>634</v>
      </c>
      <c r="P114" s="21" t="s">
        <v>634</v>
      </c>
      <c r="Q114" s="21" t="s">
        <v>634</v>
      </c>
      <c r="R114" s="21" t="s">
        <v>634</v>
      </c>
    </row>
    <row r="115" spans="1:18" x14ac:dyDescent="0.3">
      <c r="A115" s="20" t="s">
        <v>634</v>
      </c>
      <c r="B115" s="20" t="s">
        <v>634</v>
      </c>
      <c r="C115" s="20" t="s">
        <v>472</v>
      </c>
      <c r="D115" s="20" t="s">
        <v>634</v>
      </c>
      <c r="E115" s="20" t="s">
        <v>634</v>
      </c>
      <c r="F115" s="20" t="s">
        <v>634</v>
      </c>
      <c r="G115" s="20" t="s">
        <v>634</v>
      </c>
      <c r="H115" s="20" t="s">
        <v>634</v>
      </c>
      <c r="I115" s="20" t="s">
        <v>634</v>
      </c>
      <c r="J115" s="20" t="s">
        <v>634</v>
      </c>
      <c r="K115" s="20" t="s">
        <v>634</v>
      </c>
      <c r="L115" s="20" t="s">
        <v>634</v>
      </c>
      <c r="M115" s="20" t="s">
        <v>634</v>
      </c>
      <c r="N115" s="20" t="s">
        <v>634</v>
      </c>
      <c r="O115" s="20" t="s">
        <v>634</v>
      </c>
      <c r="P115" s="20" t="s">
        <v>634</v>
      </c>
      <c r="Q115" s="20" t="s">
        <v>634</v>
      </c>
      <c r="R115" s="20" t="s">
        <v>634</v>
      </c>
    </row>
    <row r="116" spans="1:18" x14ac:dyDescent="0.3">
      <c r="A116" s="20"/>
      <c r="B116" s="20"/>
      <c r="C116" s="20" t="s">
        <v>16</v>
      </c>
      <c r="D116" s="20"/>
      <c r="E116" s="20"/>
      <c r="F116" s="20"/>
      <c r="G116" s="20"/>
      <c r="H116" s="20"/>
      <c r="I116" s="20"/>
      <c r="J116" s="20"/>
      <c r="K116" s="20"/>
      <c r="L116" s="20"/>
      <c r="M116" s="20"/>
      <c r="N116" s="20"/>
      <c r="O116" s="20"/>
      <c r="P116" s="20"/>
      <c r="Q116" s="20"/>
      <c r="R116" s="20"/>
    </row>
    <row r="117" spans="1:18" x14ac:dyDescent="0.3">
      <c r="B117" s="21" t="s">
        <v>708</v>
      </c>
      <c r="C117" s="21" t="s">
        <v>634</v>
      </c>
      <c r="D117" s="21" t="s">
        <v>634</v>
      </c>
      <c r="E117" s="21" t="s">
        <v>634</v>
      </c>
      <c r="F117" s="21" t="s">
        <v>634</v>
      </c>
      <c r="G117" s="21" t="s">
        <v>634</v>
      </c>
      <c r="H117" s="21" t="s">
        <v>634</v>
      </c>
      <c r="I117" s="21" t="s">
        <v>634</v>
      </c>
      <c r="J117" s="21" t="s">
        <v>634</v>
      </c>
      <c r="K117" s="21" t="s">
        <v>634</v>
      </c>
      <c r="L117" s="21" t="s">
        <v>634</v>
      </c>
      <c r="M117" s="21" t="s">
        <v>634</v>
      </c>
      <c r="N117" s="21" t="s">
        <v>634</v>
      </c>
      <c r="O117" s="21" t="s">
        <v>634</v>
      </c>
      <c r="P117" s="21" t="s">
        <v>634</v>
      </c>
      <c r="Q117" s="21" t="s">
        <v>634</v>
      </c>
      <c r="R117" s="21" t="s">
        <v>634</v>
      </c>
    </row>
    <row r="118" spans="1:18" x14ac:dyDescent="0.3">
      <c r="A118" s="24" t="s">
        <v>634</v>
      </c>
      <c r="C118" s="25" t="s">
        <v>709</v>
      </c>
      <c r="D118" s="25" t="s">
        <v>634</v>
      </c>
      <c r="E118" s="25" t="s">
        <v>634</v>
      </c>
      <c r="F118" s="25" t="s">
        <v>634</v>
      </c>
      <c r="G118" s="25" t="s">
        <v>634</v>
      </c>
      <c r="H118" s="25" t="s">
        <v>634</v>
      </c>
      <c r="I118" s="25" t="s">
        <v>634</v>
      </c>
      <c r="J118" s="25" t="s">
        <v>634</v>
      </c>
      <c r="K118" s="25" t="s">
        <v>634</v>
      </c>
      <c r="L118" s="25" t="s">
        <v>634</v>
      </c>
      <c r="M118" s="25" t="s">
        <v>634</v>
      </c>
      <c r="N118" s="25" t="s">
        <v>634</v>
      </c>
      <c r="O118" s="25" t="s">
        <v>634</v>
      </c>
      <c r="P118" s="25" t="s">
        <v>634</v>
      </c>
      <c r="Q118" s="25" t="s">
        <v>634</v>
      </c>
      <c r="R118" s="26" t="s">
        <v>634</v>
      </c>
    </row>
    <row r="119" spans="1:18" x14ac:dyDescent="0.3">
      <c r="A119" s="27" t="s">
        <v>634</v>
      </c>
      <c r="B119" s="28" t="s">
        <v>634</v>
      </c>
      <c r="C119" s="28" t="s">
        <v>710</v>
      </c>
      <c r="D119" s="28" t="s">
        <v>702</v>
      </c>
      <c r="E119" s="28" t="s">
        <v>634</v>
      </c>
      <c r="F119" s="28" t="s">
        <v>634</v>
      </c>
      <c r="G119" s="28" t="s">
        <v>634</v>
      </c>
      <c r="H119" s="28" t="s">
        <v>634</v>
      </c>
      <c r="I119" s="28" t="s">
        <v>634</v>
      </c>
      <c r="J119" s="28" t="s">
        <v>634</v>
      </c>
      <c r="K119" s="28" t="s">
        <v>634</v>
      </c>
      <c r="L119" s="28" t="s">
        <v>634</v>
      </c>
      <c r="M119" s="28" t="s">
        <v>634</v>
      </c>
      <c r="N119" s="28" t="s">
        <v>634</v>
      </c>
      <c r="O119" s="28" t="s">
        <v>634</v>
      </c>
      <c r="P119" s="28" t="s">
        <v>634</v>
      </c>
      <c r="Q119" s="28" t="s">
        <v>634</v>
      </c>
      <c r="R119" s="29" t="s">
        <v>634</v>
      </c>
    </row>
    <row r="120" spans="1:18" x14ac:dyDescent="0.3">
      <c r="A120" s="24" t="s">
        <v>634</v>
      </c>
      <c r="B120" s="25" t="s">
        <v>634</v>
      </c>
      <c r="C120" s="25" t="s">
        <v>711</v>
      </c>
      <c r="D120" s="25" t="s">
        <v>634</v>
      </c>
      <c r="E120" s="25" t="s">
        <v>634</v>
      </c>
      <c r="F120" s="25" t="s">
        <v>634</v>
      </c>
      <c r="G120" s="25" t="s">
        <v>634</v>
      </c>
      <c r="H120" s="25" t="s">
        <v>634</v>
      </c>
      <c r="I120" s="25" t="s">
        <v>634</v>
      </c>
      <c r="J120" s="25" t="s">
        <v>634</v>
      </c>
      <c r="K120" s="25" t="s">
        <v>634</v>
      </c>
      <c r="L120" s="25" t="s">
        <v>634</v>
      </c>
      <c r="M120" s="25" t="s">
        <v>634</v>
      </c>
      <c r="N120" s="25" t="s">
        <v>634</v>
      </c>
      <c r="O120" s="25" t="s">
        <v>634</v>
      </c>
      <c r="P120" s="25" t="s">
        <v>634</v>
      </c>
      <c r="Q120" s="25" t="s">
        <v>634</v>
      </c>
      <c r="R120" s="26" t="s">
        <v>634</v>
      </c>
    </row>
    <row r="121" spans="1:18" x14ac:dyDescent="0.3">
      <c r="A121" s="27" t="s">
        <v>634</v>
      </c>
      <c r="B121" s="28" t="s">
        <v>634</v>
      </c>
      <c r="C121" s="28" t="s">
        <v>712</v>
      </c>
      <c r="D121" s="28" t="s">
        <v>634</v>
      </c>
      <c r="E121" s="28" t="s">
        <v>634</v>
      </c>
      <c r="F121" s="28" t="s">
        <v>634</v>
      </c>
      <c r="G121" s="28" t="s">
        <v>634</v>
      </c>
      <c r="H121" s="28" t="s">
        <v>634</v>
      </c>
      <c r="I121" s="28" t="s">
        <v>634</v>
      </c>
      <c r="J121" s="28" t="s">
        <v>634</v>
      </c>
      <c r="K121" s="28" t="s">
        <v>634</v>
      </c>
      <c r="L121" s="28" t="s">
        <v>634</v>
      </c>
      <c r="M121" s="28" t="s">
        <v>634</v>
      </c>
      <c r="N121" s="28" t="s">
        <v>634</v>
      </c>
      <c r="O121" s="28" t="s">
        <v>634</v>
      </c>
      <c r="P121" s="28" t="s">
        <v>634</v>
      </c>
      <c r="Q121" s="28" t="s">
        <v>634</v>
      </c>
      <c r="R121" s="29" t="s">
        <v>634</v>
      </c>
    </row>
    <row r="122" spans="1:18" x14ac:dyDescent="0.3">
      <c r="A122" s="24" t="s">
        <v>634</v>
      </c>
      <c r="B122" s="25" t="s">
        <v>634</v>
      </c>
      <c r="C122" s="25" t="s">
        <v>713</v>
      </c>
      <c r="D122" s="25" t="s">
        <v>634</v>
      </c>
      <c r="E122" s="25" t="s">
        <v>634</v>
      </c>
      <c r="F122" s="25" t="s">
        <v>634</v>
      </c>
      <c r="G122" s="25" t="s">
        <v>634</v>
      </c>
      <c r="H122" s="25" t="s">
        <v>634</v>
      </c>
      <c r="I122" s="25" t="s">
        <v>634</v>
      </c>
      <c r="J122" s="25" t="s">
        <v>634</v>
      </c>
      <c r="K122" s="25" t="s">
        <v>634</v>
      </c>
      <c r="L122" s="25" t="s">
        <v>634</v>
      </c>
      <c r="M122" s="25" t="s">
        <v>634</v>
      </c>
      <c r="N122" s="25" t="s">
        <v>634</v>
      </c>
      <c r="O122" s="25" t="s">
        <v>634</v>
      </c>
      <c r="P122" s="25" t="s">
        <v>634</v>
      </c>
      <c r="Q122" s="25" t="s">
        <v>634</v>
      </c>
      <c r="R122" s="26" t="s">
        <v>634</v>
      </c>
    </row>
    <row r="123" spans="1:18" x14ac:dyDescent="0.3">
      <c r="A123" s="27" t="s">
        <v>634</v>
      </c>
      <c r="B123" s="28" t="s">
        <v>634</v>
      </c>
      <c r="C123" s="28" t="s">
        <v>714</v>
      </c>
      <c r="D123" s="28" t="s">
        <v>634</v>
      </c>
      <c r="E123" s="28" t="s">
        <v>634</v>
      </c>
      <c r="F123" s="28" t="s">
        <v>634</v>
      </c>
      <c r="G123" s="28" t="s">
        <v>634</v>
      </c>
      <c r="H123" s="28" t="s">
        <v>634</v>
      </c>
      <c r="I123" s="28" t="s">
        <v>634</v>
      </c>
      <c r="J123" s="28" t="s">
        <v>634</v>
      </c>
      <c r="K123" s="28" t="s">
        <v>634</v>
      </c>
      <c r="L123" s="28" t="s">
        <v>634</v>
      </c>
      <c r="M123" s="28" t="s">
        <v>634</v>
      </c>
      <c r="N123" s="28" t="s">
        <v>634</v>
      </c>
      <c r="O123" s="28" t="s">
        <v>634</v>
      </c>
      <c r="P123" s="28" t="s">
        <v>634</v>
      </c>
      <c r="Q123" s="28" t="s">
        <v>634</v>
      </c>
      <c r="R123" s="29" t="s">
        <v>634</v>
      </c>
    </row>
    <row r="124" spans="1:18" x14ac:dyDescent="0.3">
      <c r="A124" s="24" t="s">
        <v>634</v>
      </c>
      <c r="B124" s="25" t="s">
        <v>634</v>
      </c>
      <c r="C124" s="25" t="s">
        <v>715</v>
      </c>
      <c r="D124" s="25" t="s">
        <v>634</v>
      </c>
      <c r="E124" s="25" t="s">
        <v>634</v>
      </c>
      <c r="F124" s="25" t="s">
        <v>634</v>
      </c>
      <c r="G124" s="25" t="s">
        <v>634</v>
      </c>
      <c r="H124" s="25" t="s">
        <v>634</v>
      </c>
      <c r="I124" s="25" t="s">
        <v>634</v>
      </c>
      <c r="J124" s="25" t="s">
        <v>634</v>
      </c>
      <c r="K124" s="25" t="s">
        <v>634</v>
      </c>
      <c r="L124" s="25" t="s">
        <v>634</v>
      </c>
      <c r="M124" s="25" t="s">
        <v>634</v>
      </c>
      <c r="N124" s="25" t="s">
        <v>634</v>
      </c>
      <c r="O124" s="25" t="s">
        <v>634</v>
      </c>
      <c r="P124" s="25" t="s">
        <v>634</v>
      </c>
      <c r="Q124" s="25" t="s">
        <v>634</v>
      </c>
      <c r="R124" s="26" t="s">
        <v>634</v>
      </c>
    </row>
    <row r="125" spans="1:18" x14ac:dyDescent="0.3">
      <c r="A125" s="27" t="s">
        <v>634</v>
      </c>
      <c r="B125" s="28" t="s">
        <v>634</v>
      </c>
      <c r="C125" s="28" t="s">
        <v>634</v>
      </c>
      <c r="D125" s="28" t="s">
        <v>716</v>
      </c>
      <c r="E125" s="28" t="s">
        <v>634</v>
      </c>
      <c r="F125" s="28" t="s">
        <v>634</v>
      </c>
      <c r="G125" s="28" t="s">
        <v>634</v>
      </c>
      <c r="H125" s="28" t="s">
        <v>634</v>
      </c>
      <c r="I125" s="28" t="s">
        <v>634</v>
      </c>
      <c r="J125" s="28" t="s">
        <v>634</v>
      </c>
      <c r="K125" s="28" t="s">
        <v>634</v>
      </c>
      <c r="L125" s="28" t="s">
        <v>634</v>
      </c>
      <c r="M125" s="28" t="s">
        <v>634</v>
      </c>
      <c r="N125" s="28" t="s">
        <v>634</v>
      </c>
      <c r="O125" s="28" t="s">
        <v>634</v>
      </c>
      <c r="P125" s="28" t="s">
        <v>634</v>
      </c>
      <c r="Q125" s="28" t="s">
        <v>634</v>
      </c>
      <c r="R125" s="29" t="s">
        <v>634</v>
      </c>
    </row>
    <row r="126" spans="1:18" x14ac:dyDescent="0.3">
      <c r="A126" s="33" t="s">
        <v>634</v>
      </c>
      <c r="B126" s="34" t="s">
        <v>634</v>
      </c>
      <c r="C126" s="34" t="s">
        <v>634</v>
      </c>
      <c r="D126" s="34" t="s">
        <v>717</v>
      </c>
      <c r="E126" s="34" t="s">
        <v>634</v>
      </c>
      <c r="F126" s="34" t="s">
        <v>634</v>
      </c>
      <c r="G126" s="34" t="s">
        <v>634</v>
      </c>
      <c r="H126" s="34" t="s">
        <v>634</v>
      </c>
      <c r="I126" s="34" t="s">
        <v>634</v>
      </c>
      <c r="J126" s="34" t="s">
        <v>634</v>
      </c>
      <c r="K126" s="34" t="s">
        <v>634</v>
      </c>
      <c r="L126" s="34" t="s">
        <v>634</v>
      </c>
      <c r="M126" s="34" t="s">
        <v>634</v>
      </c>
      <c r="N126" s="34" t="s">
        <v>634</v>
      </c>
      <c r="O126" s="34" t="s">
        <v>634</v>
      </c>
      <c r="P126" s="34" t="s">
        <v>634</v>
      </c>
      <c r="Q126" s="34" t="s">
        <v>634</v>
      </c>
      <c r="R126" s="35" t="s">
        <v>634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9D34E-94CD-4DAB-8B72-F9AC24478A67}">
  <dimension ref="A1:S148"/>
  <sheetViews>
    <sheetView topLeftCell="A120" zoomScale="91" workbookViewId="0">
      <selection activeCell="B2" sqref="B2:B147"/>
    </sheetView>
  </sheetViews>
  <sheetFormatPr defaultRowHeight="14.4" x14ac:dyDescent="0.3"/>
  <cols>
    <col min="1" max="1" width="15.33203125" bestFit="1" customWidth="1"/>
    <col min="2" max="2" width="20.33203125" bestFit="1" customWidth="1"/>
    <col min="3" max="3" width="25.6640625" bestFit="1" customWidth="1"/>
    <col min="4" max="4" width="32.109375" bestFit="1" customWidth="1"/>
    <col min="5" max="5" width="32.109375" customWidth="1"/>
    <col min="6" max="6" width="6.109375" bestFit="1" customWidth="1"/>
    <col min="7" max="7" width="5.6640625" bestFit="1" customWidth="1"/>
    <col min="8" max="8" width="11.33203125" bestFit="1" customWidth="1"/>
    <col min="9" max="9" width="12.33203125" bestFit="1" customWidth="1"/>
    <col min="10" max="11" width="8" bestFit="1" customWidth="1"/>
    <col min="12" max="12" width="11.6640625" bestFit="1" customWidth="1"/>
    <col min="13" max="13" width="15.33203125" bestFit="1" customWidth="1"/>
    <col min="14" max="14" width="7.109375" bestFit="1" customWidth="1"/>
    <col min="15" max="15" width="15.44140625" bestFit="1" customWidth="1"/>
    <col min="16" max="16" width="6" bestFit="1" customWidth="1"/>
    <col min="17" max="17" width="5.44140625" bestFit="1" customWidth="1"/>
    <col min="18" max="18" width="17" bestFit="1" customWidth="1"/>
    <col min="19" max="19" width="18.5546875" bestFit="1" customWidth="1"/>
  </cols>
  <sheetData>
    <row r="1" spans="1:19" ht="15" thickBot="1" x14ac:dyDescent="0.35">
      <c r="A1" s="142" t="s">
        <v>1</v>
      </c>
      <c r="B1" s="142" t="s">
        <v>151</v>
      </c>
      <c r="C1" s="142" t="s">
        <v>3</v>
      </c>
      <c r="D1" s="142" t="s">
        <v>152</v>
      </c>
      <c r="E1" s="142" t="s">
        <v>68</v>
      </c>
      <c r="F1" t="s">
        <v>81</v>
      </c>
      <c r="G1" t="s">
        <v>61</v>
      </c>
      <c r="H1" t="s">
        <v>82</v>
      </c>
      <c r="I1" t="s">
        <v>83</v>
      </c>
      <c r="J1" t="s">
        <v>84</v>
      </c>
      <c r="K1" t="s">
        <v>85</v>
      </c>
      <c r="L1" t="s">
        <v>86</v>
      </c>
      <c r="M1" t="s">
        <v>87</v>
      </c>
      <c r="N1" t="s">
        <v>88</v>
      </c>
      <c r="O1" t="s">
        <v>89</v>
      </c>
      <c r="P1" t="s">
        <v>90</v>
      </c>
      <c r="Q1" t="s">
        <v>91</v>
      </c>
      <c r="R1" t="s">
        <v>92</v>
      </c>
      <c r="S1" t="s">
        <v>93</v>
      </c>
    </row>
    <row r="2" spans="1:19" x14ac:dyDescent="0.3">
      <c r="A2" s="137"/>
      <c r="B2" s="138" t="s">
        <v>633</v>
      </c>
      <c r="C2" s="138"/>
      <c r="D2" s="139"/>
      <c r="E2" s="181" t="s">
        <v>529</v>
      </c>
      <c r="F2" s="5">
        <v>1</v>
      </c>
      <c r="G2" s="1">
        <v>1</v>
      </c>
      <c r="H2" s="1">
        <v>2</v>
      </c>
      <c r="I2" s="1">
        <v>2</v>
      </c>
      <c r="J2" s="1">
        <v>3</v>
      </c>
      <c r="K2" s="1">
        <v>3</v>
      </c>
      <c r="L2" s="1">
        <v>1</v>
      </c>
      <c r="M2" s="1">
        <v>2</v>
      </c>
      <c r="N2" s="1">
        <v>1</v>
      </c>
      <c r="O2" s="1">
        <v>1</v>
      </c>
      <c r="P2" s="1">
        <v>2</v>
      </c>
      <c r="Q2" s="1">
        <v>2</v>
      </c>
      <c r="R2" t="s">
        <v>634</v>
      </c>
      <c r="S2" t="s">
        <v>634</v>
      </c>
    </row>
    <row r="3" spans="1:19" x14ac:dyDescent="0.3">
      <c r="A3" s="140"/>
      <c r="B3" s="112"/>
      <c r="C3" s="112" t="s">
        <v>9</v>
      </c>
      <c r="D3" s="141"/>
      <c r="E3" s="181" t="s">
        <v>611</v>
      </c>
      <c r="F3" t="s">
        <v>634</v>
      </c>
      <c r="G3" t="s">
        <v>634</v>
      </c>
      <c r="H3" t="s">
        <v>634</v>
      </c>
      <c r="I3" t="s">
        <v>634</v>
      </c>
      <c r="J3" t="s">
        <v>634</v>
      </c>
      <c r="K3" t="s">
        <v>634</v>
      </c>
      <c r="L3" t="s">
        <v>634</v>
      </c>
      <c r="M3" t="s">
        <v>634</v>
      </c>
      <c r="N3" t="s">
        <v>634</v>
      </c>
      <c r="O3" t="s">
        <v>634</v>
      </c>
      <c r="P3" t="s">
        <v>634</v>
      </c>
      <c r="Q3" t="s">
        <v>634</v>
      </c>
      <c r="R3" t="s">
        <v>634</v>
      </c>
      <c r="S3" t="s">
        <v>634</v>
      </c>
    </row>
    <row r="4" spans="1:19" x14ac:dyDescent="0.3">
      <c r="A4" s="140"/>
      <c r="B4" s="112"/>
      <c r="C4" s="112" t="s">
        <v>635</v>
      </c>
      <c r="D4" s="141"/>
      <c r="E4" t="s">
        <v>527</v>
      </c>
      <c r="F4" t="s">
        <v>634</v>
      </c>
      <c r="G4" t="s">
        <v>634</v>
      </c>
      <c r="H4" t="s">
        <v>634</v>
      </c>
      <c r="I4" t="s">
        <v>634</v>
      </c>
      <c r="J4" t="s">
        <v>634</v>
      </c>
      <c r="K4" t="s">
        <v>634</v>
      </c>
      <c r="L4" t="s">
        <v>634</v>
      </c>
      <c r="M4" t="s">
        <v>634</v>
      </c>
      <c r="N4" t="s">
        <v>634</v>
      </c>
      <c r="O4" t="s">
        <v>634</v>
      </c>
      <c r="P4" t="s">
        <v>634</v>
      </c>
      <c r="Q4" t="s">
        <v>634</v>
      </c>
      <c r="R4" t="s">
        <v>634</v>
      </c>
      <c r="S4" t="s">
        <v>634</v>
      </c>
    </row>
    <row r="5" spans="1:19" x14ac:dyDescent="0.3">
      <c r="A5" s="140"/>
      <c r="B5" s="112"/>
      <c r="C5" s="112" t="s">
        <v>538</v>
      </c>
      <c r="D5" s="141"/>
      <c r="E5" t="s">
        <v>387</v>
      </c>
    </row>
    <row r="6" spans="1:19" x14ac:dyDescent="0.3">
      <c r="A6" s="140"/>
      <c r="B6" s="112"/>
      <c r="C6" s="112" t="s">
        <v>533</v>
      </c>
      <c r="D6" s="141"/>
      <c r="E6" s="188" t="s">
        <v>471</v>
      </c>
    </row>
    <row r="7" spans="1:19" x14ac:dyDescent="0.3">
      <c r="A7" s="140"/>
      <c r="B7" s="112"/>
      <c r="C7" s="112" t="s">
        <v>12</v>
      </c>
      <c r="D7" s="141"/>
      <c r="E7" s="188" t="s">
        <v>718</v>
      </c>
    </row>
    <row r="8" spans="1:19" x14ac:dyDescent="0.3">
      <c r="A8" s="140"/>
      <c r="B8" s="112" t="s">
        <v>636</v>
      </c>
      <c r="C8" s="112"/>
      <c r="D8" s="141"/>
      <c r="E8" s="188" t="s">
        <v>581</v>
      </c>
      <c r="F8">
        <v>1</v>
      </c>
      <c r="G8">
        <v>1</v>
      </c>
      <c r="H8">
        <v>1</v>
      </c>
      <c r="I8">
        <v>1</v>
      </c>
      <c r="J8">
        <v>2</v>
      </c>
      <c r="K8">
        <v>2</v>
      </c>
      <c r="L8">
        <v>1</v>
      </c>
      <c r="M8">
        <v>1</v>
      </c>
      <c r="N8">
        <v>1</v>
      </c>
      <c r="O8">
        <v>1</v>
      </c>
      <c r="P8">
        <v>1</v>
      </c>
      <c r="Q8">
        <v>2</v>
      </c>
      <c r="R8" t="s">
        <v>634</v>
      </c>
      <c r="S8" t="s">
        <v>634</v>
      </c>
    </row>
    <row r="9" spans="1:19" x14ac:dyDescent="0.3">
      <c r="A9" s="140"/>
      <c r="B9" s="112"/>
      <c r="C9" s="112" t="s">
        <v>637</v>
      </c>
      <c r="D9" s="141"/>
      <c r="E9" s="179" t="s">
        <v>719</v>
      </c>
      <c r="F9" t="s">
        <v>634</v>
      </c>
      <c r="G9" t="s">
        <v>634</v>
      </c>
      <c r="H9" t="s">
        <v>634</v>
      </c>
      <c r="I9" t="s">
        <v>634</v>
      </c>
      <c r="J9" t="s">
        <v>634</v>
      </c>
      <c r="K9" t="s">
        <v>634</v>
      </c>
      <c r="L9" t="s">
        <v>634</v>
      </c>
      <c r="M9" t="s">
        <v>634</v>
      </c>
      <c r="N9" t="s">
        <v>634</v>
      </c>
      <c r="O9" t="s">
        <v>634</v>
      </c>
      <c r="P9" t="s">
        <v>634</v>
      </c>
      <c r="Q9" t="s">
        <v>634</v>
      </c>
      <c r="R9" t="s">
        <v>634</v>
      </c>
      <c r="S9" t="s">
        <v>634</v>
      </c>
    </row>
    <row r="10" spans="1:19" x14ac:dyDescent="0.3">
      <c r="A10" s="140"/>
      <c r="B10" s="112"/>
      <c r="C10" s="112"/>
      <c r="D10" s="141" t="s">
        <v>638</v>
      </c>
      <c r="E10" s="188" t="s">
        <v>651</v>
      </c>
    </row>
    <row r="11" spans="1:19" x14ac:dyDescent="0.3">
      <c r="A11" s="140"/>
      <c r="B11" s="112"/>
      <c r="C11" s="112"/>
      <c r="D11" s="141" t="s">
        <v>639</v>
      </c>
      <c r="E11" s="189" t="s">
        <v>471</v>
      </c>
      <c r="F11" t="s">
        <v>634</v>
      </c>
      <c r="G11" t="s">
        <v>634</v>
      </c>
      <c r="H11" t="s">
        <v>634</v>
      </c>
      <c r="I11" t="s">
        <v>634</v>
      </c>
      <c r="J11" t="s">
        <v>634</v>
      </c>
      <c r="K11" t="s">
        <v>634</v>
      </c>
      <c r="L11" t="s">
        <v>634</v>
      </c>
      <c r="M11" t="s">
        <v>634</v>
      </c>
      <c r="N11" t="s">
        <v>634</v>
      </c>
      <c r="O11" t="s">
        <v>634</v>
      </c>
      <c r="P11" t="s">
        <v>634</v>
      </c>
      <c r="Q11" t="s">
        <v>634</v>
      </c>
      <c r="R11" t="s">
        <v>634</v>
      </c>
      <c r="S11" t="s">
        <v>634</v>
      </c>
    </row>
    <row r="12" spans="1:19" x14ac:dyDescent="0.3">
      <c r="A12" s="140"/>
      <c r="B12" s="112"/>
      <c r="C12" s="112" t="s">
        <v>443</v>
      </c>
      <c r="D12" s="141"/>
      <c r="E12" s="188" t="s">
        <v>22</v>
      </c>
      <c r="F12" t="s">
        <v>634</v>
      </c>
      <c r="G12" t="s">
        <v>634</v>
      </c>
      <c r="H12" t="s">
        <v>634</v>
      </c>
      <c r="I12" t="s">
        <v>634</v>
      </c>
      <c r="J12" t="s">
        <v>634</v>
      </c>
      <c r="K12" t="s">
        <v>634</v>
      </c>
      <c r="L12" t="s">
        <v>634</v>
      </c>
      <c r="M12" t="s">
        <v>634</v>
      </c>
      <c r="N12" t="s">
        <v>634</v>
      </c>
      <c r="O12" t="s">
        <v>634</v>
      </c>
      <c r="P12" t="s">
        <v>634</v>
      </c>
      <c r="Q12" t="s">
        <v>634</v>
      </c>
      <c r="R12" t="s">
        <v>634</v>
      </c>
      <c r="S12" t="s">
        <v>634</v>
      </c>
    </row>
    <row r="13" spans="1:19" x14ac:dyDescent="0.3">
      <c r="A13" s="140" t="s">
        <v>387</v>
      </c>
      <c r="B13" s="112"/>
      <c r="C13" s="112"/>
      <c r="D13" s="141"/>
      <c r="E13" s="189" t="s">
        <v>471</v>
      </c>
      <c r="F13" t="s">
        <v>634</v>
      </c>
      <c r="G13" t="s">
        <v>634</v>
      </c>
      <c r="H13" t="s">
        <v>634</v>
      </c>
      <c r="I13" t="s">
        <v>634</v>
      </c>
      <c r="J13" t="s">
        <v>634</v>
      </c>
      <c r="K13" t="s">
        <v>634</v>
      </c>
      <c r="L13" t="s">
        <v>634</v>
      </c>
      <c r="M13" t="s">
        <v>634</v>
      </c>
      <c r="N13" t="s">
        <v>634</v>
      </c>
      <c r="O13" t="s">
        <v>634</v>
      </c>
      <c r="P13" t="s">
        <v>634</v>
      </c>
      <c r="Q13" t="s">
        <v>634</v>
      </c>
      <c r="R13" t="s">
        <v>634</v>
      </c>
      <c r="S13" t="s">
        <v>634</v>
      </c>
    </row>
    <row r="14" spans="1:19" x14ac:dyDescent="0.3">
      <c r="A14" s="140"/>
      <c r="B14" s="112" t="s">
        <v>640</v>
      </c>
      <c r="C14" s="112"/>
      <c r="D14" s="141"/>
      <c r="E14" s="189" t="s">
        <v>581</v>
      </c>
      <c r="F14" s="5">
        <v>2</v>
      </c>
      <c r="G14" s="1">
        <v>2</v>
      </c>
      <c r="H14" s="1">
        <v>2</v>
      </c>
      <c r="I14" s="1">
        <v>3</v>
      </c>
      <c r="J14" s="1">
        <v>5</v>
      </c>
      <c r="K14" s="1">
        <v>5</v>
      </c>
      <c r="L14" s="1">
        <v>2</v>
      </c>
      <c r="M14" s="1">
        <v>3</v>
      </c>
      <c r="N14" s="1">
        <v>1</v>
      </c>
      <c r="O14" s="1">
        <v>2</v>
      </c>
      <c r="P14" s="1">
        <v>3</v>
      </c>
      <c r="Q14" s="1">
        <v>3</v>
      </c>
      <c r="R14" t="s">
        <v>634</v>
      </c>
      <c r="S14" t="s">
        <v>634</v>
      </c>
    </row>
    <row r="15" spans="1:19" x14ac:dyDescent="0.3">
      <c r="A15" s="140"/>
      <c r="B15" s="112"/>
      <c r="C15" s="112" t="s">
        <v>16</v>
      </c>
      <c r="D15" s="141"/>
      <c r="F15" t="s">
        <v>634</v>
      </c>
      <c r="G15" t="s">
        <v>634</v>
      </c>
      <c r="H15" t="s">
        <v>634</v>
      </c>
      <c r="I15" t="s">
        <v>634</v>
      </c>
      <c r="J15" t="s">
        <v>634</v>
      </c>
      <c r="K15" t="s">
        <v>634</v>
      </c>
      <c r="L15" t="s">
        <v>634</v>
      </c>
      <c r="M15" t="s">
        <v>634</v>
      </c>
      <c r="N15" t="s">
        <v>634</v>
      </c>
      <c r="O15" t="s">
        <v>634</v>
      </c>
      <c r="P15" t="s">
        <v>634</v>
      </c>
      <c r="Q15" t="s">
        <v>634</v>
      </c>
      <c r="R15" t="s">
        <v>634</v>
      </c>
      <c r="S15" t="s">
        <v>634</v>
      </c>
    </row>
    <row r="16" spans="1:19" x14ac:dyDescent="0.3">
      <c r="A16" s="140"/>
      <c r="B16" s="112"/>
      <c r="C16" s="112" t="s">
        <v>448</v>
      </c>
      <c r="D16" s="141"/>
    </row>
    <row r="17" spans="1:19" x14ac:dyDescent="0.3">
      <c r="A17" s="140"/>
      <c r="B17" s="112"/>
      <c r="C17" s="112" t="s">
        <v>641</v>
      </c>
      <c r="D17" s="141"/>
      <c r="F17" t="s">
        <v>634</v>
      </c>
      <c r="G17" t="s">
        <v>634</v>
      </c>
      <c r="H17" t="s">
        <v>634</v>
      </c>
      <c r="I17" t="s">
        <v>634</v>
      </c>
      <c r="J17" t="s">
        <v>634</v>
      </c>
      <c r="K17" t="s">
        <v>634</v>
      </c>
      <c r="L17" t="s">
        <v>634</v>
      </c>
      <c r="M17" t="s">
        <v>634</v>
      </c>
      <c r="N17" t="s">
        <v>634</v>
      </c>
      <c r="O17" t="s">
        <v>634</v>
      </c>
      <c r="P17" t="s">
        <v>634</v>
      </c>
      <c r="Q17" t="s">
        <v>634</v>
      </c>
      <c r="R17" t="s">
        <v>634</v>
      </c>
      <c r="S17" t="s">
        <v>634</v>
      </c>
    </row>
    <row r="18" spans="1:19" x14ac:dyDescent="0.3">
      <c r="A18" s="140"/>
      <c r="B18" s="112"/>
      <c r="C18" s="112" t="s">
        <v>642</v>
      </c>
      <c r="D18" s="141"/>
      <c r="F18" t="s">
        <v>634</v>
      </c>
      <c r="G18" t="s">
        <v>634</v>
      </c>
      <c r="H18" t="s">
        <v>634</v>
      </c>
      <c r="I18" t="s">
        <v>634</v>
      </c>
      <c r="J18" t="s">
        <v>634</v>
      </c>
      <c r="K18" t="s">
        <v>634</v>
      </c>
      <c r="L18" t="s">
        <v>634</v>
      </c>
      <c r="M18" t="s">
        <v>634</v>
      </c>
      <c r="N18" t="s">
        <v>634</v>
      </c>
      <c r="O18" t="s">
        <v>634</v>
      </c>
      <c r="P18" t="s">
        <v>634</v>
      </c>
      <c r="Q18" t="s">
        <v>634</v>
      </c>
      <c r="R18" t="s">
        <v>634</v>
      </c>
      <c r="S18" t="s">
        <v>634</v>
      </c>
    </row>
    <row r="19" spans="1:19" x14ac:dyDescent="0.3">
      <c r="A19" s="140"/>
      <c r="B19" s="112"/>
      <c r="C19" s="112" t="s">
        <v>643</v>
      </c>
      <c r="D19" s="141"/>
      <c r="F19" t="s">
        <v>634</v>
      </c>
      <c r="G19" t="s">
        <v>634</v>
      </c>
      <c r="H19" t="s">
        <v>634</v>
      </c>
      <c r="I19" t="s">
        <v>634</v>
      </c>
      <c r="J19" t="s">
        <v>634</v>
      </c>
      <c r="K19" t="s">
        <v>634</v>
      </c>
      <c r="L19" t="s">
        <v>634</v>
      </c>
      <c r="M19" t="s">
        <v>634</v>
      </c>
      <c r="N19" t="s">
        <v>634</v>
      </c>
      <c r="O19" t="s">
        <v>634</v>
      </c>
      <c r="P19" t="s">
        <v>634</v>
      </c>
      <c r="Q19" t="s">
        <v>634</v>
      </c>
      <c r="R19" t="s">
        <v>634</v>
      </c>
      <c r="S19" t="s">
        <v>634</v>
      </c>
    </row>
    <row r="20" spans="1:19" x14ac:dyDescent="0.3">
      <c r="A20" s="140"/>
      <c r="B20" s="112"/>
      <c r="C20" s="112" t="s">
        <v>644</v>
      </c>
      <c r="D20" s="141"/>
      <c r="F20">
        <v>3</v>
      </c>
      <c r="G20">
        <v>3</v>
      </c>
      <c r="H20">
        <v>3</v>
      </c>
      <c r="I20">
        <v>4</v>
      </c>
      <c r="J20">
        <v>5</v>
      </c>
      <c r="K20">
        <v>5</v>
      </c>
      <c r="L20">
        <v>2</v>
      </c>
      <c r="M20">
        <v>4</v>
      </c>
      <c r="N20">
        <v>1</v>
      </c>
      <c r="O20">
        <v>2</v>
      </c>
      <c r="P20">
        <v>4</v>
      </c>
      <c r="Q20">
        <v>4</v>
      </c>
    </row>
    <row r="21" spans="1:19" x14ac:dyDescent="0.3">
      <c r="A21" s="140"/>
      <c r="B21" s="112"/>
      <c r="C21" s="112"/>
      <c r="D21" s="141" t="s">
        <v>645</v>
      </c>
      <c r="F21" t="s">
        <v>634</v>
      </c>
      <c r="G21" t="s">
        <v>634</v>
      </c>
      <c r="H21" t="s">
        <v>634</v>
      </c>
      <c r="I21" t="s">
        <v>634</v>
      </c>
      <c r="J21" t="s">
        <v>634</v>
      </c>
      <c r="K21" t="s">
        <v>634</v>
      </c>
      <c r="L21" t="s">
        <v>634</v>
      </c>
      <c r="M21" t="s">
        <v>634</v>
      </c>
      <c r="N21" t="s">
        <v>634</v>
      </c>
      <c r="O21" t="s">
        <v>634</v>
      </c>
      <c r="P21" t="s">
        <v>634</v>
      </c>
      <c r="Q21" t="s">
        <v>634</v>
      </c>
      <c r="R21" t="s">
        <v>634</v>
      </c>
      <c r="S21" t="s">
        <v>634</v>
      </c>
    </row>
    <row r="22" spans="1:19" x14ac:dyDescent="0.3">
      <c r="A22" s="140"/>
      <c r="B22" s="112"/>
      <c r="C22" s="112"/>
      <c r="D22" s="141" t="s">
        <v>646</v>
      </c>
      <c r="F22" t="s">
        <v>634</v>
      </c>
      <c r="G22" t="s">
        <v>634</v>
      </c>
      <c r="H22" t="s">
        <v>634</v>
      </c>
      <c r="I22" t="s">
        <v>634</v>
      </c>
      <c r="J22" t="s">
        <v>634</v>
      </c>
      <c r="K22" t="s">
        <v>634</v>
      </c>
      <c r="L22" t="s">
        <v>634</v>
      </c>
      <c r="M22" t="s">
        <v>634</v>
      </c>
      <c r="N22" t="s">
        <v>634</v>
      </c>
      <c r="O22" t="s">
        <v>634</v>
      </c>
      <c r="P22" t="s">
        <v>634</v>
      </c>
      <c r="Q22" t="s">
        <v>634</v>
      </c>
      <c r="R22" t="s">
        <v>634</v>
      </c>
      <c r="S22" t="s">
        <v>634</v>
      </c>
    </row>
    <row r="23" spans="1:19" x14ac:dyDescent="0.3">
      <c r="A23" s="140"/>
      <c r="B23" s="112"/>
      <c r="C23" s="112"/>
      <c r="D23" s="141" t="s">
        <v>594</v>
      </c>
      <c r="F23" t="s">
        <v>634</v>
      </c>
      <c r="G23" t="s">
        <v>634</v>
      </c>
      <c r="H23" t="s">
        <v>634</v>
      </c>
      <c r="I23" t="s">
        <v>634</v>
      </c>
      <c r="J23" t="s">
        <v>634</v>
      </c>
      <c r="K23" t="s">
        <v>634</v>
      </c>
      <c r="L23" t="s">
        <v>634</v>
      </c>
      <c r="M23" t="s">
        <v>634</v>
      </c>
      <c r="N23" t="s">
        <v>634</v>
      </c>
      <c r="O23" t="s">
        <v>634</v>
      </c>
      <c r="P23" t="s">
        <v>634</v>
      </c>
      <c r="Q23" t="s">
        <v>634</v>
      </c>
      <c r="R23" t="s">
        <v>634</v>
      </c>
      <c r="S23" t="s">
        <v>634</v>
      </c>
    </row>
    <row r="24" spans="1:19" x14ac:dyDescent="0.3">
      <c r="A24" s="140"/>
      <c r="B24" s="112"/>
      <c r="C24" s="112"/>
      <c r="D24" s="141" t="s">
        <v>648</v>
      </c>
    </row>
    <row r="25" spans="1:19" x14ac:dyDescent="0.3">
      <c r="A25" s="140"/>
      <c r="B25" s="112"/>
      <c r="C25" s="112"/>
      <c r="D25" s="141" t="s">
        <v>649</v>
      </c>
      <c r="F25" t="s">
        <v>634</v>
      </c>
      <c r="G25" t="s">
        <v>634</v>
      </c>
      <c r="H25" t="s">
        <v>634</v>
      </c>
      <c r="I25" t="s">
        <v>634</v>
      </c>
      <c r="J25" t="s">
        <v>634</v>
      </c>
      <c r="K25" t="s">
        <v>634</v>
      </c>
      <c r="L25" t="s">
        <v>634</v>
      </c>
      <c r="M25" t="s">
        <v>634</v>
      </c>
      <c r="N25" t="s">
        <v>634</v>
      </c>
      <c r="O25" t="s">
        <v>634</v>
      </c>
      <c r="P25" t="s">
        <v>634</v>
      </c>
      <c r="Q25" t="s">
        <v>634</v>
      </c>
      <c r="R25" t="s">
        <v>634</v>
      </c>
      <c r="S25" t="s">
        <v>634</v>
      </c>
    </row>
    <row r="26" spans="1:19" x14ac:dyDescent="0.3">
      <c r="A26" s="140" t="s">
        <v>650</v>
      </c>
      <c r="B26" s="112"/>
      <c r="C26" s="112"/>
      <c r="D26" s="141"/>
      <c r="F26" s="5"/>
      <c r="G26" s="1"/>
      <c r="H26" s="1"/>
      <c r="I26" s="1"/>
      <c r="J26" s="1"/>
      <c r="K26" s="1"/>
      <c r="L26" s="1"/>
      <c r="M26" s="1"/>
      <c r="N26" s="1"/>
      <c r="O26" s="1"/>
      <c r="P26" s="1"/>
      <c r="Q26" s="1"/>
      <c r="R26" t="s">
        <v>634</v>
      </c>
      <c r="S26" t="s">
        <v>634</v>
      </c>
    </row>
    <row r="27" spans="1:19" x14ac:dyDescent="0.3">
      <c r="A27" s="140"/>
      <c r="B27" s="112" t="s">
        <v>651</v>
      </c>
      <c r="C27" s="112"/>
      <c r="D27" s="141"/>
      <c r="F27" t="s">
        <v>634</v>
      </c>
      <c r="G27" t="s">
        <v>634</v>
      </c>
      <c r="H27" t="s">
        <v>634</v>
      </c>
      <c r="I27" t="s">
        <v>634</v>
      </c>
      <c r="J27" t="s">
        <v>634</v>
      </c>
      <c r="K27" t="s">
        <v>634</v>
      </c>
      <c r="L27" t="s">
        <v>634</v>
      </c>
      <c r="M27" t="s">
        <v>634</v>
      </c>
      <c r="N27" t="s">
        <v>634</v>
      </c>
      <c r="O27" t="s">
        <v>634</v>
      </c>
      <c r="P27" t="s">
        <v>634</v>
      </c>
      <c r="Q27" t="s">
        <v>634</v>
      </c>
      <c r="R27" t="s">
        <v>634</v>
      </c>
      <c r="S27" t="s">
        <v>634</v>
      </c>
    </row>
    <row r="28" spans="1:19" x14ac:dyDescent="0.3">
      <c r="A28" s="140"/>
      <c r="B28" s="112"/>
      <c r="C28" s="112" t="s">
        <v>16</v>
      </c>
      <c r="D28" s="141"/>
      <c r="F28" s="5">
        <v>2</v>
      </c>
      <c r="G28" s="1">
        <v>2</v>
      </c>
      <c r="H28" s="1">
        <v>1</v>
      </c>
      <c r="I28" s="1">
        <v>2</v>
      </c>
      <c r="J28" s="1">
        <v>3</v>
      </c>
      <c r="K28" s="1">
        <v>3</v>
      </c>
      <c r="L28" s="1">
        <v>2</v>
      </c>
      <c r="M28" s="1">
        <v>3</v>
      </c>
      <c r="N28" s="1">
        <v>1</v>
      </c>
      <c r="O28" s="1">
        <v>2</v>
      </c>
      <c r="P28" s="1">
        <v>2</v>
      </c>
      <c r="Q28" s="1">
        <v>2</v>
      </c>
      <c r="R28" t="s">
        <v>634</v>
      </c>
      <c r="S28" t="s">
        <v>634</v>
      </c>
    </row>
    <row r="29" spans="1:19" x14ac:dyDescent="0.3">
      <c r="A29" s="140"/>
      <c r="B29" s="112"/>
      <c r="C29" s="112" t="s">
        <v>641</v>
      </c>
      <c r="D29" s="141"/>
      <c r="F29" t="s">
        <v>634</v>
      </c>
      <c r="G29" t="s">
        <v>634</v>
      </c>
      <c r="H29" t="s">
        <v>634</v>
      </c>
      <c r="I29" t="s">
        <v>634</v>
      </c>
      <c r="J29" t="s">
        <v>634</v>
      </c>
      <c r="K29" t="s">
        <v>634</v>
      </c>
      <c r="L29" t="s">
        <v>634</v>
      </c>
      <c r="M29" t="s">
        <v>634</v>
      </c>
      <c r="N29" t="s">
        <v>634</v>
      </c>
      <c r="O29" t="s">
        <v>634</v>
      </c>
      <c r="P29" t="s">
        <v>634</v>
      </c>
      <c r="Q29" t="s">
        <v>634</v>
      </c>
      <c r="R29" t="s">
        <v>634</v>
      </c>
      <c r="S29" t="s">
        <v>634</v>
      </c>
    </row>
    <row r="30" spans="1:19" x14ac:dyDescent="0.3">
      <c r="A30" s="140"/>
      <c r="B30" s="112"/>
      <c r="C30" s="112" t="s">
        <v>642</v>
      </c>
      <c r="D30" s="141"/>
      <c r="F30" t="s">
        <v>634</v>
      </c>
      <c r="G30" t="s">
        <v>634</v>
      </c>
      <c r="H30" t="s">
        <v>634</v>
      </c>
      <c r="I30" t="s">
        <v>634</v>
      </c>
      <c r="J30" t="s">
        <v>634</v>
      </c>
      <c r="K30" t="s">
        <v>634</v>
      </c>
      <c r="L30" t="s">
        <v>634</v>
      </c>
      <c r="M30" t="s">
        <v>634</v>
      </c>
      <c r="N30" t="s">
        <v>634</v>
      </c>
      <c r="O30" t="s">
        <v>634</v>
      </c>
      <c r="P30" t="s">
        <v>634</v>
      </c>
      <c r="Q30" t="s">
        <v>634</v>
      </c>
      <c r="R30" t="s">
        <v>634</v>
      </c>
      <c r="S30" t="s">
        <v>634</v>
      </c>
    </row>
    <row r="31" spans="1:19" x14ac:dyDescent="0.3">
      <c r="A31" s="140"/>
      <c r="B31" s="112"/>
      <c r="C31" s="112" t="s">
        <v>652</v>
      </c>
      <c r="D31" s="141"/>
      <c r="F31" t="s">
        <v>634</v>
      </c>
      <c r="G31" t="s">
        <v>634</v>
      </c>
      <c r="H31" t="s">
        <v>634</v>
      </c>
      <c r="I31" t="s">
        <v>634</v>
      </c>
      <c r="J31" t="s">
        <v>634</v>
      </c>
      <c r="K31" t="s">
        <v>634</v>
      </c>
      <c r="L31" t="s">
        <v>634</v>
      </c>
      <c r="M31" t="s">
        <v>634</v>
      </c>
      <c r="N31" t="s">
        <v>634</v>
      </c>
      <c r="O31" t="s">
        <v>634</v>
      </c>
      <c r="P31" t="s">
        <v>634</v>
      </c>
      <c r="Q31" t="s">
        <v>634</v>
      </c>
      <c r="R31" t="s">
        <v>634</v>
      </c>
      <c r="S31" t="s">
        <v>634</v>
      </c>
    </row>
    <row r="32" spans="1:19" x14ac:dyDescent="0.3">
      <c r="A32" s="140"/>
      <c r="B32" s="112"/>
      <c r="C32" s="112" t="s">
        <v>653</v>
      </c>
      <c r="D32" s="141"/>
      <c r="F32" t="s">
        <v>634</v>
      </c>
      <c r="G32" t="s">
        <v>634</v>
      </c>
      <c r="H32" t="s">
        <v>634</v>
      </c>
      <c r="I32" t="s">
        <v>634</v>
      </c>
      <c r="J32" t="s">
        <v>634</v>
      </c>
      <c r="K32" t="s">
        <v>634</v>
      </c>
      <c r="L32" t="s">
        <v>634</v>
      </c>
      <c r="M32" t="s">
        <v>634</v>
      </c>
      <c r="N32" t="s">
        <v>634</v>
      </c>
      <c r="O32" t="s">
        <v>634</v>
      </c>
      <c r="P32" t="s">
        <v>634</v>
      </c>
      <c r="Q32" t="s">
        <v>634</v>
      </c>
      <c r="R32" t="s">
        <v>634</v>
      </c>
      <c r="S32" t="s">
        <v>634</v>
      </c>
    </row>
    <row r="33" spans="1:19" x14ac:dyDescent="0.3">
      <c r="A33" s="140"/>
      <c r="B33" s="112" t="s">
        <v>654</v>
      </c>
      <c r="C33" s="112" t="s">
        <v>634</v>
      </c>
      <c r="D33" s="141"/>
      <c r="F33" s="5">
        <v>2</v>
      </c>
      <c r="G33" s="1">
        <v>2</v>
      </c>
      <c r="H33" s="1">
        <v>2</v>
      </c>
      <c r="I33" s="1">
        <v>3</v>
      </c>
      <c r="J33" s="1">
        <v>5</v>
      </c>
      <c r="K33" s="1">
        <v>5</v>
      </c>
      <c r="L33" s="1">
        <v>2</v>
      </c>
      <c r="M33" s="1">
        <v>3</v>
      </c>
      <c r="N33" s="1">
        <v>1</v>
      </c>
      <c r="O33" s="1">
        <v>2</v>
      </c>
      <c r="P33" s="1">
        <v>2</v>
      </c>
      <c r="Q33" s="1">
        <v>3</v>
      </c>
      <c r="R33" t="s">
        <v>634</v>
      </c>
      <c r="S33" t="s">
        <v>634</v>
      </c>
    </row>
    <row r="34" spans="1:19" x14ac:dyDescent="0.3">
      <c r="A34" s="140"/>
      <c r="B34" s="112"/>
      <c r="C34" s="112" t="s">
        <v>16</v>
      </c>
      <c r="D34" s="141"/>
      <c r="F34" t="s">
        <v>634</v>
      </c>
      <c r="G34" t="s">
        <v>634</v>
      </c>
      <c r="H34" t="s">
        <v>634</v>
      </c>
      <c r="I34" t="s">
        <v>634</v>
      </c>
      <c r="J34" t="s">
        <v>634</v>
      </c>
      <c r="K34" t="s">
        <v>634</v>
      </c>
      <c r="L34" t="s">
        <v>634</v>
      </c>
      <c r="M34" t="s">
        <v>634</v>
      </c>
      <c r="N34" t="s">
        <v>634</v>
      </c>
      <c r="O34" t="s">
        <v>634</v>
      </c>
      <c r="P34" t="s">
        <v>634</v>
      </c>
      <c r="Q34" t="s">
        <v>634</v>
      </c>
      <c r="R34" t="s">
        <v>634</v>
      </c>
      <c r="S34" t="s">
        <v>634</v>
      </c>
    </row>
    <row r="35" spans="1:19" x14ac:dyDescent="0.3">
      <c r="A35" s="140"/>
      <c r="B35" s="112"/>
      <c r="C35" s="112" t="s">
        <v>641</v>
      </c>
      <c r="D35" s="141"/>
      <c r="F35" t="s">
        <v>634</v>
      </c>
      <c r="G35" t="s">
        <v>634</v>
      </c>
      <c r="H35" t="s">
        <v>634</v>
      </c>
      <c r="I35" t="s">
        <v>634</v>
      </c>
      <c r="J35" t="s">
        <v>634</v>
      </c>
      <c r="K35" t="s">
        <v>634</v>
      </c>
      <c r="L35" t="s">
        <v>634</v>
      </c>
      <c r="M35" t="s">
        <v>634</v>
      </c>
      <c r="N35" t="s">
        <v>634</v>
      </c>
      <c r="O35" t="s">
        <v>634</v>
      </c>
      <c r="P35" t="s">
        <v>634</v>
      </c>
      <c r="Q35" t="s">
        <v>634</v>
      </c>
      <c r="R35" t="s">
        <v>634</v>
      </c>
      <c r="S35" t="s">
        <v>634</v>
      </c>
    </row>
    <row r="36" spans="1:19" x14ac:dyDescent="0.3">
      <c r="A36" s="140"/>
      <c r="B36" s="112"/>
      <c r="C36" s="112" t="s">
        <v>642</v>
      </c>
      <c r="D36" s="141"/>
      <c r="F36" t="s">
        <v>634</v>
      </c>
      <c r="G36" t="s">
        <v>634</v>
      </c>
      <c r="H36" t="s">
        <v>634</v>
      </c>
      <c r="I36" t="s">
        <v>634</v>
      </c>
      <c r="J36" t="s">
        <v>634</v>
      </c>
      <c r="K36" t="s">
        <v>634</v>
      </c>
      <c r="L36" t="s">
        <v>634</v>
      </c>
      <c r="M36" t="s">
        <v>634</v>
      </c>
      <c r="N36" t="s">
        <v>634</v>
      </c>
      <c r="O36" t="s">
        <v>634</v>
      </c>
      <c r="P36" t="s">
        <v>634</v>
      </c>
      <c r="Q36" t="s">
        <v>634</v>
      </c>
      <c r="R36" t="s">
        <v>634</v>
      </c>
      <c r="S36" t="s">
        <v>634</v>
      </c>
    </row>
    <row r="37" spans="1:19" x14ac:dyDescent="0.3">
      <c r="A37" s="140"/>
      <c r="B37" s="112"/>
      <c r="C37" s="112" t="s">
        <v>655</v>
      </c>
      <c r="D37" s="141"/>
      <c r="F37" t="s">
        <v>634</v>
      </c>
      <c r="G37" t="s">
        <v>634</v>
      </c>
      <c r="H37" t="s">
        <v>634</v>
      </c>
      <c r="I37" t="s">
        <v>634</v>
      </c>
      <c r="J37" t="s">
        <v>634</v>
      </c>
      <c r="K37" t="s">
        <v>634</v>
      </c>
      <c r="L37" t="s">
        <v>634</v>
      </c>
      <c r="M37" t="s">
        <v>634</v>
      </c>
      <c r="N37" t="s">
        <v>634</v>
      </c>
      <c r="O37" t="s">
        <v>634</v>
      </c>
      <c r="P37" t="s">
        <v>634</v>
      </c>
      <c r="Q37" t="s">
        <v>634</v>
      </c>
      <c r="R37" t="s">
        <v>634</v>
      </c>
      <c r="S37" t="s">
        <v>634</v>
      </c>
    </row>
    <row r="38" spans="1:19" x14ac:dyDescent="0.3">
      <c r="A38" s="140"/>
      <c r="B38" s="112"/>
      <c r="C38" s="112" t="s">
        <v>656</v>
      </c>
      <c r="D38" s="141"/>
      <c r="F38" t="s">
        <v>634</v>
      </c>
      <c r="G38" t="s">
        <v>634</v>
      </c>
      <c r="H38" t="s">
        <v>634</v>
      </c>
      <c r="I38" t="s">
        <v>634</v>
      </c>
      <c r="J38" t="s">
        <v>634</v>
      </c>
      <c r="K38" t="s">
        <v>634</v>
      </c>
      <c r="L38" t="s">
        <v>634</v>
      </c>
      <c r="M38" t="s">
        <v>634</v>
      </c>
      <c r="N38" t="s">
        <v>634</v>
      </c>
      <c r="O38" t="s">
        <v>634</v>
      </c>
      <c r="P38" t="s">
        <v>634</v>
      </c>
      <c r="Q38" t="s">
        <v>634</v>
      </c>
      <c r="R38" t="s">
        <v>634</v>
      </c>
      <c r="S38" t="s">
        <v>634</v>
      </c>
    </row>
    <row r="39" spans="1:19" x14ac:dyDescent="0.3">
      <c r="A39" s="140"/>
      <c r="B39" s="112"/>
      <c r="C39" s="112"/>
      <c r="D39" s="141" t="s">
        <v>657</v>
      </c>
    </row>
    <row r="40" spans="1:19" x14ac:dyDescent="0.3">
      <c r="A40" s="140"/>
      <c r="B40" s="112"/>
      <c r="C40" s="112"/>
      <c r="D40" s="141" t="s">
        <v>594</v>
      </c>
      <c r="F40" t="s">
        <v>634</v>
      </c>
      <c r="G40" t="s">
        <v>634</v>
      </c>
      <c r="H40" t="s">
        <v>634</v>
      </c>
      <c r="I40" t="s">
        <v>634</v>
      </c>
      <c r="J40" t="s">
        <v>634</v>
      </c>
      <c r="K40" t="s">
        <v>634</v>
      </c>
      <c r="L40" t="s">
        <v>634</v>
      </c>
      <c r="M40" t="s">
        <v>634</v>
      </c>
      <c r="N40" t="s">
        <v>634</v>
      </c>
      <c r="O40" t="s">
        <v>634</v>
      </c>
      <c r="P40" t="s">
        <v>634</v>
      </c>
      <c r="Q40" t="s">
        <v>634</v>
      </c>
      <c r="R40" t="s">
        <v>634</v>
      </c>
      <c r="S40" t="s">
        <v>634</v>
      </c>
    </row>
    <row r="41" spans="1:19" x14ac:dyDescent="0.3">
      <c r="A41" s="140"/>
      <c r="B41" s="112"/>
      <c r="C41" s="112"/>
      <c r="D41" s="141" t="s">
        <v>649</v>
      </c>
      <c r="E41" s="188" t="s">
        <v>659</v>
      </c>
    </row>
    <row r="42" spans="1:19" x14ac:dyDescent="0.3">
      <c r="A42" s="140"/>
      <c r="B42" s="112"/>
      <c r="C42" s="112" t="s">
        <v>658</v>
      </c>
      <c r="D42" s="141"/>
      <c r="E42" s="189" t="s">
        <v>471</v>
      </c>
      <c r="F42" t="s">
        <v>634</v>
      </c>
      <c r="G42" t="s">
        <v>634</v>
      </c>
      <c r="H42" t="s">
        <v>634</v>
      </c>
      <c r="I42" t="s">
        <v>634</v>
      </c>
      <c r="J42" t="s">
        <v>634</v>
      </c>
      <c r="K42" t="s">
        <v>634</v>
      </c>
      <c r="L42" t="s">
        <v>634</v>
      </c>
      <c r="M42" t="s">
        <v>634</v>
      </c>
      <c r="N42" t="s">
        <v>634</v>
      </c>
      <c r="O42" t="s">
        <v>634</v>
      </c>
      <c r="P42" t="s">
        <v>634</v>
      </c>
      <c r="Q42" t="s">
        <v>634</v>
      </c>
      <c r="R42" t="s">
        <v>634</v>
      </c>
      <c r="S42" t="s">
        <v>634</v>
      </c>
    </row>
    <row r="43" spans="1:19" x14ac:dyDescent="0.3">
      <c r="A43" s="140"/>
      <c r="B43" s="112" t="s">
        <v>659</v>
      </c>
      <c r="C43" s="112"/>
      <c r="D43" s="141"/>
      <c r="E43" s="188"/>
      <c r="F43" s="5">
        <v>2</v>
      </c>
      <c r="G43" s="1">
        <v>2</v>
      </c>
      <c r="H43" s="1">
        <v>1</v>
      </c>
      <c r="I43" s="1">
        <v>2</v>
      </c>
      <c r="J43" s="1">
        <v>3</v>
      </c>
      <c r="K43" s="1">
        <v>3</v>
      </c>
      <c r="L43" s="1">
        <v>2</v>
      </c>
      <c r="M43" s="1">
        <v>3</v>
      </c>
      <c r="N43" s="1">
        <v>1</v>
      </c>
      <c r="O43" s="1">
        <v>2</v>
      </c>
      <c r="P43" s="1">
        <v>2</v>
      </c>
      <c r="Q43" s="1">
        <v>2</v>
      </c>
      <c r="R43" t="s">
        <v>634</v>
      </c>
      <c r="S43" t="s">
        <v>634</v>
      </c>
    </row>
    <row r="44" spans="1:19" x14ac:dyDescent="0.3">
      <c r="A44" s="140"/>
      <c r="B44" s="112"/>
      <c r="C44" s="112" t="s">
        <v>16</v>
      </c>
      <c r="D44" s="141"/>
      <c r="F44" t="s">
        <v>634</v>
      </c>
      <c r="G44" t="s">
        <v>634</v>
      </c>
      <c r="H44" t="s">
        <v>634</v>
      </c>
      <c r="I44" t="s">
        <v>634</v>
      </c>
      <c r="J44" t="s">
        <v>634</v>
      </c>
      <c r="K44" t="s">
        <v>634</v>
      </c>
      <c r="L44" t="s">
        <v>634</v>
      </c>
      <c r="M44" t="s">
        <v>634</v>
      </c>
      <c r="N44" t="s">
        <v>634</v>
      </c>
      <c r="O44" t="s">
        <v>634</v>
      </c>
      <c r="P44" t="s">
        <v>634</v>
      </c>
      <c r="Q44" t="s">
        <v>634</v>
      </c>
      <c r="R44" t="s">
        <v>634</v>
      </c>
      <c r="S44" t="s">
        <v>634</v>
      </c>
    </row>
    <row r="45" spans="1:19" x14ac:dyDescent="0.3">
      <c r="A45" s="140"/>
      <c r="B45" s="112"/>
      <c r="C45" s="112" t="s">
        <v>641</v>
      </c>
      <c r="D45" s="141"/>
      <c r="F45" t="s">
        <v>634</v>
      </c>
      <c r="G45" t="s">
        <v>634</v>
      </c>
      <c r="H45" t="s">
        <v>634</v>
      </c>
      <c r="I45" t="s">
        <v>634</v>
      </c>
      <c r="J45" t="s">
        <v>634</v>
      </c>
      <c r="K45" t="s">
        <v>634</v>
      </c>
      <c r="L45" t="s">
        <v>634</v>
      </c>
      <c r="M45" t="s">
        <v>634</v>
      </c>
      <c r="N45" t="s">
        <v>634</v>
      </c>
      <c r="O45" t="s">
        <v>634</v>
      </c>
      <c r="P45" t="s">
        <v>634</v>
      </c>
      <c r="Q45" t="s">
        <v>634</v>
      </c>
      <c r="R45" t="s">
        <v>634</v>
      </c>
      <c r="S45" t="s">
        <v>634</v>
      </c>
    </row>
    <row r="46" spans="1:19" x14ac:dyDescent="0.3">
      <c r="A46" s="140"/>
      <c r="B46" s="112"/>
      <c r="C46" s="112" t="s">
        <v>642</v>
      </c>
      <c r="D46" s="141"/>
      <c r="F46" t="s">
        <v>634</v>
      </c>
      <c r="G46" t="s">
        <v>634</v>
      </c>
      <c r="H46" t="s">
        <v>634</v>
      </c>
      <c r="I46" t="s">
        <v>634</v>
      </c>
      <c r="J46" t="s">
        <v>634</v>
      </c>
      <c r="K46" t="s">
        <v>634</v>
      </c>
      <c r="L46" t="s">
        <v>634</v>
      </c>
      <c r="M46" t="s">
        <v>634</v>
      </c>
      <c r="N46" t="s">
        <v>634</v>
      </c>
      <c r="O46" t="s">
        <v>634</v>
      </c>
      <c r="P46" t="s">
        <v>634</v>
      </c>
      <c r="Q46" t="s">
        <v>634</v>
      </c>
      <c r="R46" t="s">
        <v>634</v>
      </c>
      <c r="S46" t="s">
        <v>634</v>
      </c>
    </row>
    <row r="47" spans="1:19" x14ac:dyDescent="0.3">
      <c r="A47" s="140"/>
      <c r="B47" s="112"/>
      <c r="C47" s="112" t="s">
        <v>660</v>
      </c>
      <c r="D47" s="141"/>
      <c r="E47" s="188" t="s">
        <v>662</v>
      </c>
      <c r="F47" t="s">
        <v>634</v>
      </c>
      <c r="G47" t="s">
        <v>634</v>
      </c>
      <c r="H47" t="s">
        <v>634</v>
      </c>
      <c r="I47" t="s">
        <v>634</v>
      </c>
      <c r="J47" t="s">
        <v>634</v>
      </c>
      <c r="K47" t="s">
        <v>634</v>
      </c>
      <c r="L47" t="s">
        <v>634</v>
      </c>
      <c r="M47" t="s">
        <v>634</v>
      </c>
      <c r="N47" t="s">
        <v>634</v>
      </c>
      <c r="O47" t="s">
        <v>634</v>
      </c>
      <c r="P47" t="s">
        <v>634</v>
      </c>
      <c r="Q47" t="s">
        <v>634</v>
      </c>
      <c r="R47" t="s">
        <v>634</v>
      </c>
      <c r="S47" t="s">
        <v>634</v>
      </c>
    </row>
    <row r="48" spans="1:19" x14ac:dyDescent="0.3">
      <c r="A48" s="140"/>
      <c r="B48" s="112"/>
      <c r="C48" s="112" t="s">
        <v>661</v>
      </c>
      <c r="D48" s="141"/>
      <c r="E48" s="189" t="s">
        <v>471</v>
      </c>
      <c r="F48" t="s">
        <v>634</v>
      </c>
      <c r="G48" t="s">
        <v>634</v>
      </c>
      <c r="H48" t="s">
        <v>634</v>
      </c>
      <c r="I48" t="s">
        <v>634</v>
      </c>
      <c r="J48" t="s">
        <v>634</v>
      </c>
      <c r="K48" t="s">
        <v>634</v>
      </c>
      <c r="L48" t="s">
        <v>634</v>
      </c>
      <c r="M48" t="s">
        <v>634</v>
      </c>
      <c r="N48" t="s">
        <v>634</v>
      </c>
      <c r="O48" t="s">
        <v>634</v>
      </c>
      <c r="P48" t="s">
        <v>634</v>
      </c>
      <c r="Q48" t="s">
        <v>634</v>
      </c>
      <c r="R48" t="s">
        <v>634</v>
      </c>
      <c r="S48" t="s">
        <v>634</v>
      </c>
    </row>
    <row r="49" spans="1:19" x14ac:dyDescent="0.3">
      <c r="A49" s="140"/>
      <c r="B49" s="112" t="s">
        <v>662</v>
      </c>
      <c r="C49" s="112"/>
      <c r="D49" s="141"/>
      <c r="E49" s="189" t="s">
        <v>581</v>
      </c>
      <c r="F49" s="5">
        <v>2</v>
      </c>
      <c r="G49" s="1">
        <v>2</v>
      </c>
      <c r="H49" s="1">
        <v>2</v>
      </c>
      <c r="I49" s="1">
        <v>3</v>
      </c>
      <c r="J49" s="1">
        <v>5</v>
      </c>
      <c r="K49" s="1">
        <v>5</v>
      </c>
      <c r="L49" s="1">
        <v>2</v>
      </c>
      <c r="M49" s="1">
        <v>3</v>
      </c>
      <c r="N49" s="1">
        <v>1</v>
      </c>
      <c r="O49" s="1">
        <v>2</v>
      </c>
      <c r="P49" s="1">
        <v>2</v>
      </c>
      <c r="Q49" s="1">
        <v>3</v>
      </c>
      <c r="R49" t="s">
        <v>634</v>
      </c>
      <c r="S49" t="s">
        <v>634</v>
      </c>
    </row>
    <row r="50" spans="1:19" x14ac:dyDescent="0.3">
      <c r="A50" s="140"/>
      <c r="B50" s="112"/>
      <c r="C50" s="112" t="s">
        <v>16</v>
      </c>
      <c r="D50" s="141"/>
      <c r="F50" t="s">
        <v>634</v>
      </c>
      <c r="G50" t="s">
        <v>634</v>
      </c>
      <c r="H50" t="s">
        <v>634</v>
      </c>
      <c r="I50" t="s">
        <v>634</v>
      </c>
      <c r="J50" t="s">
        <v>634</v>
      </c>
      <c r="K50" t="s">
        <v>634</v>
      </c>
      <c r="L50" t="s">
        <v>634</v>
      </c>
      <c r="M50" t="s">
        <v>634</v>
      </c>
      <c r="N50" t="s">
        <v>634</v>
      </c>
      <c r="O50" t="s">
        <v>634</v>
      </c>
      <c r="P50" t="s">
        <v>634</v>
      </c>
      <c r="Q50" t="s">
        <v>634</v>
      </c>
      <c r="R50" t="s">
        <v>634</v>
      </c>
      <c r="S50" t="s">
        <v>634</v>
      </c>
    </row>
    <row r="51" spans="1:19" x14ac:dyDescent="0.3">
      <c r="A51" s="140"/>
      <c r="B51" s="112"/>
      <c r="C51" s="112" t="s">
        <v>641</v>
      </c>
      <c r="D51" s="141"/>
      <c r="F51" t="s">
        <v>634</v>
      </c>
      <c r="G51" t="s">
        <v>634</v>
      </c>
      <c r="H51" t="s">
        <v>634</v>
      </c>
      <c r="I51" t="s">
        <v>634</v>
      </c>
      <c r="J51" t="s">
        <v>634</v>
      </c>
      <c r="K51" t="s">
        <v>634</v>
      </c>
      <c r="L51" t="s">
        <v>634</v>
      </c>
      <c r="M51" t="s">
        <v>634</v>
      </c>
      <c r="N51" t="s">
        <v>634</v>
      </c>
      <c r="O51" t="s">
        <v>634</v>
      </c>
      <c r="P51" t="s">
        <v>634</v>
      </c>
      <c r="Q51" t="s">
        <v>634</v>
      </c>
      <c r="R51" t="s">
        <v>634</v>
      </c>
      <c r="S51" t="s">
        <v>634</v>
      </c>
    </row>
    <row r="52" spans="1:19" x14ac:dyDescent="0.3">
      <c r="A52" s="140"/>
      <c r="B52" s="112"/>
      <c r="C52" s="112" t="s">
        <v>642</v>
      </c>
      <c r="D52" s="141"/>
      <c r="F52" t="s">
        <v>634</v>
      </c>
      <c r="G52" t="s">
        <v>634</v>
      </c>
      <c r="H52" t="s">
        <v>634</v>
      </c>
      <c r="I52" t="s">
        <v>634</v>
      </c>
      <c r="J52" t="s">
        <v>634</v>
      </c>
      <c r="K52" t="s">
        <v>634</v>
      </c>
      <c r="L52" t="s">
        <v>634</v>
      </c>
      <c r="M52" t="s">
        <v>634</v>
      </c>
      <c r="N52" t="s">
        <v>634</v>
      </c>
      <c r="O52" t="s">
        <v>634</v>
      </c>
      <c r="P52" t="s">
        <v>634</v>
      </c>
      <c r="Q52" t="s">
        <v>634</v>
      </c>
      <c r="R52" t="s">
        <v>634</v>
      </c>
      <c r="S52" t="s">
        <v>634</v>
      </c>
    </row>
    <row r="53" spans="1:19" x14ac:dyDescent="0.3">
      <c r="A53" s="140"/>
      <c r="B53" s="112"/>
      <c r="C53" s="112" t="s">
        <v>663</v>
      </c>
      <c r="D53" s="141"/>
      <c r="F53" t="s">
        <v>634</v>
      </c>
      <c r="G53" t="s">
        <v>634</v>
      </c>
      <c r="H53" t="s">
        <v>634</v>
      </c>
      <c r="I53" t="s">
        <v>634</v>
      </c>
      <c r="J53" t="s">
        <v>634</v>
      </c>
      <c r="K53" t="s">
        <v>634</v>
      </c>
      <c r="L53" t="s">
        <v>634</v>
      </c>
      <c r="M53" t="s">
        <v>634</v>
      </c>
      <c r="N53" t="s">
        <v>634</v>
      </c>
      <c r="O53" t="s">
        <v>634</v>
      </c>
      <c r="P53" t="s">
        <v>634</v>
      </c>
      <c r="Q53" t="s">
        <v>634</v>
      </c>
      <c r="R53" t="s">
        <v>634</v>
      </c>
      <c r="S53" t="s">
        <v>634</v>
      </c>
    </row>
    <row r="54" spans="1:19" x14ac:dyDescent="0.3">
      <c r="A54" s="140"/>
      <c r="B54" s="112"/>
      <c r="C54" s="112" t="s">
        <v>664</v>
      </c>
      <c r="D54" s="141"/>
      <c r="F54" t="s">
        <v>634</v>
      </c>
      <c r="G54" t="s">
        <v>634</v>
      </c>
      <c r="H54" t="s">
        <v>634</v>
      </c>
      <c r="I54" t="s">
        <v>634</v>
      </c>
      <c r="J54" t="s">
        <v>634</v>
      </c>
      <c r="K54" t="s">
        <v>634</v>
      </c>
      <c r="L54" t="s">
        <v>634</v>
      </c>
      <c r="M54" t="s">
        <v>634</v>
      </c>
      <c r="N54" t="s">
        <v>634</v>
      </c>
      <c r="O54" t="s">
        <v>634</v>
      </c>
      <c r="P54" t="s">
        <v>634</v>
      </c>
      <c r="Q54" t="s">
        <v>634</v>
      </c>
      <c r="R54" t="s">
        <v>634</v>
      </c>
      <c r="S54" t="s">
        <v>634</v>
      </c>
    </row>
    <row r="55" spans="1:19" x14ac:dyDescent="0.3">
      <c r="A55" s="140"/>
      <c r="B55" s="112"/>
      <c r="C55" s="112"/>
      <c r="D55" s="141" t="s">
        <v>657</v>
      </c>
    </row>
    <row r="56" spans="1:19" x14ac:dyDescent="0.3">
      <c r="A56" s="140"/>
      <c r="B56" s="112"/>
      <c r="C56" s="112"/>
      <c r="D56" s="141" t="s">
        <v>594</v>
      </c>
      <c r="E56" s="188" t="s">
        <v>666</v>
      </c>
      <c r="F56" t="s">
        <v>634</v>
      </c>
      <c r="G56" t="s">
        <v>634</v>
      </c>
      <c r="H56" t="s">
        <v>634</v>
      </c>
      <c r="I56" t="s">
        <v>634</v>
      </c>
      <c r="J56" t="s">
        <v>634</v>
      </c>
      <c r="K56" t="s">
        <v>634</v>
      </c>
      <c r="L56" t="s">
        <v>634</v>
      </c>
      <c r="M56" t="s">
        <v>634</v>
      </c>
      <c r="N56" t="s">
        <v>634</v>
      </c>
      <c r="O56" t="s">
        <v>634</v>
      </c>
      <c r="P56" t="s">
        <v>634</v>
      </c>
      <c r="Q56" t="s">
        <v>634</v>
      </c>
      <c r="R56" t="s">
        <v>634</v>
      </c>
      <c r="S56" t="s">
        <v>634</v>
      </c>
    </row>
    <row r="57" spans="1:19" x14ac:dyDescent="0.3">
      <c r="A57" s="140"/>
      <c r="B57" s="112"/>
      <c r="C57" s="112"/>
      <c r="D57" s="141" t="s">
        <v>649</v>
      </c>
      <c r="E57" s="189" t="s">
        <v>471</v>
      </c>
    </row>
    <row r="58" spans="1:19" x14ac:dyDescent="0.3">
      <c r="A58" s="140"/>
      <c r="B58" s="112"/>
      <c r="C58" s="112" t="s">
        <v>665</v>
      </c>
      <c r="D58" s="141"/>
      <c r="E58" s="189" t="s">
        <v>581</v>
      </c>
      <c r="F58" t="s">
        <v>634</v>
      </c>
      <c r="G58" t="s">
        <v>634</v>
      </c>
      <c r="H58" t="s">
        <v>634</v>
      </c>
      <c r="I58" t="s">
        <v>634</v>
      </c>
      <c r="J58" t="s">
        <v>634</v>
      </c>
      <c r="K58" t="s">
        <v>634</v>
      </c>
      <c r="L58" t="s">
        <v>634</v>
      </c>
      <c r="M58" t="s">
        <v>634</v>
      </c>
      <c r="N58" t="s">
        <v>634</v>
      </c>
      <c r="O58" t="s">
        <v>634</v>
      </c>
      <c r="P58" t="s">
        <v>634</v>
      </c>
      <c r="Q58" t="s">
        <v>634</v>
      </c>
      <c r="R58" t="s">
        <v>634</v>
      </c>
      <c r="S58" t="s">
        <v>634</v>
      </c>
    </row>
    <row r="59" spans="1:19" x14ac:dyDescent="0.3">
      <c r="A59" s="140"/>
      <c r="B59" s="112" t="s">
        <v>666</v>
      </c>
      <c r="C59" s="112"/>
      <c r="D59" s="141"/>
      <c r="F59" s="5">
        <v>2</v>
      </c>
      <c r="G59" s="1">
        <v>2</v>
      </c>
      <c r="H59" s="1">
        <v>2</v>
      </c>
      <c r="I59" s="1">
        <v>3</v>
      </c>
      <c r="J59" s="1">
        <v>5</v>
      </c>
      <c r="K59" s="1">
        <v>5</v>
      </c>
      <c r="L59" s="1">
        <v>2</v>
      </c>
      <c r="M59" s="1">
        <v>3</v>
      </c>
      <c r="N59" s="1">
        <v>1</v>
      </c>
      <c r="O59" s="1">
        <v>2</v>
      </c>
      <c r="P59" s="1">
        <v>2</v>
      </c>
      <c r="Q59" s="1">
        <v>3</v>
      </c>
      <c r="R59" t="s">
        <v>634</v>
      </c>
      <c r="S59" t="s">
        <v>634</v>
      </c>
    </row>
    <row r="60" spans="1:19" x14ac:dyDescent="0.3">
      <c r="A60" s="140"/>
      <c r="B60" s="112"/>
      <c r="C60" s="112" t="s">
        <v>16</v>
      </c>
      <c r="D60" s="141"/>
      <c r="F60" t="s">
        <v>634</v>
      </c>
      <c r="G60" t="s">
        <v>634</v>
      </c>
      <c r="H60" t="s">
        <v>634</v>
      </c>
      <c r="I60" t="s">
        <v>634</v>
      </c>
      <c r="J60" t="s">
        <v>634</v>
      </c>
      <c r="K60" t="s">
        <v>634</v>
      </c>
      <c r="L60" t="s">
        <v>634</v>
      </c>
      <c r="M60" t="s">
        <v>634</v>
      </c>
      <c r="N60" t="s">
        <v>634</v>
      </c>
      <c r="O60" t="s">
        <v>634</v>
      </c>
      <c r="P60" t="s">
        <v>634</v>
      </c>
      <c r="Q60" t="s">
        <v>634</v>
      </c>
      <c r="R60" t="s">
        <v>634</v>
      </c>
      <c r="S60" t="s">
        <v>634</v>
      </c>
    </row>
    <row r="61" spans="1:19" x14ac:dyDescent="0.3">
      <c r="A61" s="140"/>
      <c r="B61" s="112"/>
      <c r="C61" s="112" t="s">
        <v>641</v>
      </c>
      <c r="D61" s="141"/>
      <c r="F61" t="s">
        <v>634</v>
      </c>
      <c r="G61" t="s">
        <v>634</v>
      </c>
      <c r="H61" t="s">
        <v>634</v>
      </c>
      <c r="I61" t="s">
        <v>634</v>
      </c>
      <c r="J61" t="s">
        <v>634</v>
      </c>
      <c r="K61" t="s">
        <v>634</v>
      </c>
      <c r="L61" t="s">
        <v>634</v>
      </c>
      <c r="M61" t="s">
        <v>634</v>
      </c>
      <c r="N61" t="s">
        <v>634</v>
      </c>
      <c r="O61" t="s">
        <v>634</v>
      </c>
      <c r="P61" t="s">
        <v>634</v>
      </c>
      <c r="Q61" t="s">
        <v>634</v>
      </c>
      <c r="R61" t="s">
        <v>634</v>
      </c>
      <c r="S61" t="s">
        <v>634</v>
      </c>
    </row>
    <row r="62" spans="1:19" x14ac:dyDescent="0.3">
      <c r="A62" s="140"/>
      <c r="B62" s="112"/>
      <c r="C62" s="112" t="s">
        <v>642</v>
      </c>
      <c r="D62" s="141"/>
      <c r="F62" t="s">
        <v>634</v>
      </c>
      <c r="G62" t="s">
        <v>634</v>
      </c>
      <c r="H62" t="s">
        <v>634</v>
      </c>
      <c r="I62" t="s">
        <v>634</v>
      </c>
      <c r="J62" t="s">
        <v>634</v>
      </c>
      <c r="K62" t="s">
        <v>634</v>
      </c>
      <c r="L62" t="s">
        <v>634</v>
      </c>
      <c r="M62" t="s">
        <v>634</v>
      </c>
      <c r="N62" t="s">
        <v>634</v>
      </c>
      <c r="O62" t="s">
        <v>634</v>
      </c>
      <c r="P62" t="s">
        <v>634</v>
      </c>
      <c r="Q62" t="s">
        <v>634</v>
      </c>
      <c r="R62" t="s">
        <v>634</v>
      </c>
      <c r="S62" t="s">
        <v>634</v>
      </c>
    </row>
    <row r="63" spans="1:19" x14ac:dyDescent="0.3">
      <c r="A63" s="140"/>
      <c r="B63" s="112"/>
      <c r="C63" s="112" t="s">
        <v>667</v>
      </c>
      <c r="D63" s="141"/>
      <c r="F63" t="s">
        <v>634</v>
      </c>
      <c r="G63" t="s">
        <v>634</v>
      </c>
      <c r="H63" t="s">
        <v>634</v>
      </c>
      <c r="I63" t="s">
        <v>634</v>
      </c>
      <c r="J63" t="s">
        <v>634</v>
      </c>
      <c r="K63" t="s">
        <v>634</v>
      </c>
      <c r="L63" t="s">
        <v>634</v>
      </c>
      <c r="M63" t="s">
        <v>634</v>
      </c>
      <c r="N63" t="s">
        <v>634</v>
      </c>
      <c r="O63" t="s">
        <v>634</v>
      </c>
      <c r="P63" t="s">
        <v>634</v>
      </c>
      <c r="Q63" t="s">
        <v>634</v>
      </c>
      <c r="R63" t="s">
        <v>634</v>
      </c>
      <c r="S63" t="s">
        <v>634</v>
      </c>
    </row>
    <row r="64" spans="1:19" x14ac:dyDescent="0.3">
      <c r="A64" s="140"/>
      <c r="B64" s="112"/>
      <c r="C64" s="112" t="s">
        <v>668</v>
      </c>
      <c r="D64" s="141"/>
      <c r="F64" t="s">
        <v>634</v>
      </c>
      <c r="G64" t="s">
        <v>634</v>
      </c>
      <c r="H64" t="s">
        <v>634</v>
      </c>
      <c r="I64" t="s">
        <v>634</v>
      </c>
      <c r="J64" t="s">
        <v>634</v>
      </c>
      <c r="K64" t="s">
        <v>634</v>
      </c>
      <c r="L64" t="s">
        <v>634</v>
      </c>
      <c r="M64" t="s">
        <v>634</v>
      </c>
      <c r="N64" t="s">
        <v>634</v>
      </c>
      <c r="O64" t="s">
        <v>634</v>
      </c>
      <c r="P64" t="s">
        <v>634</v>
      </c>
      <c r="Q64" t="s">
        <v>634</v>
      </c>
      <c r="R64" t="s">
        <v>634</v>
      </c>
      <c r="S64" t="s">
        <v>634</v>
      </c>
    </row>
    <row r="65" spans="1:19" x14ac:dyDescent="0.3">
      <c r="A65" s="140"/>
      <c r="B65" s="112"/>
      <c r="C65" s="112"/>
      <c r="D65" s="141" t="s">
        <v>669</v>
      </c>
    </row>
    <row r="66" spans="1:19" x14ac:dyDescent="0.3">
      <c r="A66" s="140"/>
      <c r="B66" s="112"/>
      <c r="C66" s="112"/>
      <c r="D66" s="141" t="s">
        <v>670</v>
      </c>
      <c r="F66" t="s">
        <v>634</v>
      </c>
      <c r="G66" t="s">
        <v>634</v>
      </c>
      <c r="H66" t="s">
        <v>634</v>
      </c>
      <c r="I66" t="s">
        <v>634</v>
      </c>
      <c r="J66" t="s">
        <v>634</v>
      </c>
      <c r="K66" t="s">
        <v>634</v>
      </c>
      <c r="L66" t="s">
        <v>634</v>
      </c>
      <c r="M66" t="s">
        <v>634</v>
      </c>
      <c r="N66" t="s">
        <v>634</v>
      </c>
      <c r="O66" t="s">
        <v>634</v>
      </c>
      <c r="P66" t="s">
        <v>634</v>
      </c>
      <c r="Q66" t="s">
        <v>634</v>
      </c>
      <c r="R66" t="s">
        <v>634</v>
      </c>
      <c r="S66" t="s">
        <v>634</v>
      </c>
    </row>
    <row r="67" spans="1:19" x14ac:dyDescent="0.3">
      <c r="A67" s="140"/>
      <c r="B67" s="112"/>
      <c r="C67" s="112"/>
      <c r="D67" s="141" t="s">
        <v>671</v>
      </c>
      <c r="E67" t="s">
        <v>672</v>
      </c>
      <c r="F67" t="s">
        <v>634</v>
      </c>
      <c r="G67" t="s">
        <v>634</v>
      </c>
      <c r="H67" t="s">
        <v>634</v>
      </c>
      <c r="I67" t="s">
        <v>634</v>
      </c>
      <c r="J67" t="s">
        <v>634</v>
      </c>
      <c r="K67" t="s">
        <v>634</v>
      </c>
      <c r="L67" t="s">
        <v>634</v>
      </c>
      <c r="M67" t="s">
        <v>634</v>
      </c>
      <c r="N67" t="s">
        <v>634</v>
      </c>
      <c r="O67" t="s">
        <v>634</v>
      </c>
      <c r="P67" t="s">
        <v>634</v>
      </c>
      <c r="Q67" t="s">
        <v>634</v>
      </c>
      <c r="R67" t="s">
        <v>634</v>
      </c>
      <c r="S67" t="s">
        <v>634</v>
      </c>
    </row>
    <row r="68" spans="1:19" x14ac:dyDescent="0.3">
      <c r="A68" s="140"/>
      <c r="B68" s="112"/>
      <c r="C68" s="112"/>
      <c r="D68" s="141" t="s">
        <v>594</v>
      </c>
      <c r="E68" s="189" t="s">
        <v>471</v>
      </c>
      <c r="F68" t="s">
        <v>634</v>
      </c>
      <c r="G68" t="s">
        <v>634</v>
      </c>
      <c r="H68" t="s">
        <v>634</v>
      </c>
      <c r="I68" t="s">
        <v>634</v>
      </c>
      <c r="J68" t="s">
        <v>634</v>
      </c>
      <c r="K68" t="s">
        <v>634</v>
      </c>
      <c r="L68" t="s">
        <v>634</v>
      </c>
      <c r="M68" t="s">
        <v>634</v>
      </c>
      <c r="N68" t="s">
        <v>634</v>
      </c>
      <c r="O68" t="s">
        <v>634</v>
      </c>
      <c r="P68" t="s">
        <v>634</v>
      </c>
      <c r="Q68" t="s">
        <v>634</v>
      </c>
      <c r="R68" t="s">
        <v>634</v>
      </c>
      <c r="S68" t="s">
        <v>634</v>
      </c>
    </row>
    <row r="69" spans="1:19" x14ac:dyDescent="0.3">
      <c r="A69" s="140"/>
      <c r="B69" s="112"/>
      <c r="C69" s="112"/>
      <c r="D69" s="141" t="s">
        <v>649</v>
      </c>
      <c r="E69" s="189" t="s">
        <v>581</v>
      </c>
    </row>
    <row r="70" spans="1:19" x14ac:dyDescent="0.3">
      <c r="A70" s="140"/>
      <c r="B70" s="112"/>
      <c r="C70" s="112" t="s">
        <v>665</v>
      </c>
      <c r="D70" s="141"/>
      <c r="F70" t="s">
        <v>634</v>
      </c>
      <c r="G70" t="s">
        <v>634</v>
      </c>
      <c r="H70" t="s">
        <v>634</v>
      </c>
      <c r="I70" t="s">
        <v>634</v>
      </c>
      <c r="J70" t="s">
        <v>634</v>
      </c>
      <c r="K70" t="s">
        <v>634</v>
      </c>
      <c r="L70" t="s">
        <v>634</v>
      </c>
      <c r="M70" t="s">
        <v>634</v>
      </c>
      <c r="N70" t="s">
        <v>634</v>
      </c>
      <c r="O70" t="s">
        <v>634</v>
      </c>
      <c r="P70" t="s">
        <v>634</v>
      </c>
      <c r="Q70" t="s">
        <v>634</v>
      </c>
      <c r="R70" t="s">
        <v>634</v>
      </c>
      <c r="S70" t="s">
        <v>634</v>
      </c>
    </row>
    <row r="71" spans="1:19" x14ac:dyDescent="0.3">
      <c r="A71" s="140"/>
      <c r="B71" s="112" t="s">
        <v>672</v>
      </c>
      <c r="C71" s="112"/>
      <c r="D71" s="141"/>
      <c r="F71" t="s">
        <v>634</v>
      </c>
      <c r="G71" t="s">
        <v>634</v>
      </c>
      <c r="H71" t="s">
        <v>634</v>
      </c>
      <c r="I71" t="s">
        <v>634</v>
      </c>
      <c r="J71" t="s">
        <v>634</v>
      </c>
      <c r="K71" t="s">
        <v>634</v>
      </c>
      <c r="L71" t="s">
        <v>634</v>
      </c>
      <c r="M71" t="s">
        <v>634</v>
      </c>
      <c r="N71" t="s">
        <v>634</v>
      </c>
      <c r="O71" t="s">
        <v>634</v>
      </c>
      <c r="P71" t="s">
        <v>634</v>
      </c>
      <c r="Q71" t="s">
        <v>634</v>
      </c>
      <c r="R71" t="s">
        <v>634</v>
      </c>
      <c r="S71" t="s">
        <v>634</v>
      </c>
    </row>
    <row r="72" spans="1:19" x14ac:dyDescent="0.3">
      <c r="A72" s="140"/>
      <c r="B72" s="112"/>
      <c r="C72" s="112" t="s">
        <v>16</v>
      </c>
      <c r="D72" s="141"/>
      <c r="F72" s="5">
        <v>2</v>
      </c>
      <c r="G72" s="1">
        <v>2</v>
      </c>
      <c r="H72" s="1">
        <v>2</v>
      </c>
      <c r="I72" s="1">
        <v>3</v>
      </c>
      <c r="J72" s="1">
        <v>5</v>
      </c>
      <c r="K72" s="1">
        <v>5</v>
      </c>
      <c r="L72" s="1">
        <v>2</v>
      </c>
      <c r="M72" s="1">
        <v>3</v>
      </c>
      <c r="N72" s="1">
        <v>1</v>
      </c>
      <c r="O72" s="1">
        <v>2</v>
      </c>
      <c r="P72" s="1">
        <v>2</v>
      </c>
      <c r="Q72" s="1">
        <v>3</v>
      </c>
      <c r="R72" t="s">
        <v>634</v>
      </c>
      <c r="S72" t="s">
        <v>634</v>
      </c>
    </row>
    <row r="73" spans="1:19" x14ac:dyDescent="0.3">
      <c r="A73" s="140"/>
      <c r="B73" s="112"/>
      <c r="C73" s="112" t="s">
        <v>641</v>
      </c>
      <c r="D73" s="141"/>
      <c r="F73" t="s">
        <v>634</v>
      </c>
      <c r="G73" t="s">
        <v>634</v>
      </c>
      <c r="H73" t="s">
        <v>634</v>
      </c>
      <c r="I73" t="s">
        <v>634</v>
      </c>
      <c r="J73" t="s">
        <v>634</v>
      </c>
      <c r="K73" t="s">
        <v>634</v>
      </c>
      <c r="L73" t="s">
        <v>634</v>
      </c>
      <c r="M73" t="s">
        <v>634</v>
      </c>
      <c r="N73" t="s">
        <v>634</v>
      </c>
      <c r="O73" t="s">
        <v>634</v>
      </c>
      <c r="P73" t="s">
        <v>634</v>
      </c>
      <c r="Q73" t="s">
        <v>634</v>
      </c>
      <c r="R73" t="s">
        <v>634</v>
      </c>
      <c r="S73" t="s">
        <v>634</v>
      </c>
    </row>
    <row r="74" spans="1:19" x14ac:dyDescent="0.3">
      <c r="A74" s="140"/>
      <c r="B74" s="112"/>
      <c r="C74" s="112" t="s">
        <v>642</v>
      </c>
      <c r="D74" s="141"/>
      <c r="F74" t="s">
        <v>634</v>
      </c>
      <c r="G74" t="s">
        <v>634</v>
      </c>
      <c r="H74" t="s">
        <v>634</v>
      </c>
      <c r="I74" t="s">
        <v>634</v>
      </c>
      <c r="J74" t="s">
        <v>634</v>
      </c>
      <c r="K74" t="s">
        <v>634</v>
      </c>
      <c r="L74" t="s">
        <v>634</v>
      </c>
      <c r="M74" t="s">
        <v>634</v>
      </c>
      <c r="N74" t="s">
        <v>634</v>
      </c>
      <c r="O74" t="s">
        <v>634</v>
      </c>
      <c r="P74" t="s">
        <v>634</v>
      </c>
      <c r="Q74" t="s">
        <v>634</v>
      </c>
      <c r="R74" t="s">
        <v>634</v>
      </c>
      <c r="S74" t="s">
        <v>634</v>
      </c>
    </row>
    <row r="75" spans="1:19" x14ac:dyDescent="0.3">
      <c r="A75" s="140"/>
      <c r="B75" s="112"/>
      <c r="C75" s="112" t="s">
        <v>673</v>
      </c>
      <c r="D75" s="141"/>
      <c r="F75" t="s">
        <v>634</v>
      </c>
      <c r="G75" t="s">
        <v>634</v>
      </c>
      <c r="H75" t="s">
        <v>634</v>
      </c>
      <c r="I75" t="s">
        <v>634</v>
      </c>
      <c r="J75" t="s">
        <v>634</v>
      </c>
      <c r="K75" t="s">
        <v>634</v>
      </c>
      <c r="L75" t="s">
        <v>634</v>
      </c>
      <c r="M75" t="s">
        <v>634</v>
      </c>
      <c r="N75" t="s">
        <v>634</v>
      </c>
      <c r="O75" t="s">
        <v>634</v>
      </c>
      <c r="P75" t="s">
        <v>634</v>
      </c>
      <c r="Q75" t="s">
        <v>634</v>
      </c>
      <c r="R75" t="s">
        <v>634</v>
      </c>
      <c r="S75" t="s">
        <v>634</v>
      </c>
    </row>
    <row r="76" spans="1:19" x14ac:dyDescent="0.3">
      <c r="A76" s="140"/>
      <c r="B76" s="112"/>
      <c r="C76" s="112" t="s">
        <v>674</v>
      </c>
      <c r="D76" s="141"/>
      <c r="F76" t="s">
        <v>634</v>
      </c>
      <c r="G76" t="s">
        <v>634</v>
      </c>
      <c r="H76" t="s">
        <v>634</v>
      </c>
      <c r="I76" t="s">
        <v>634</v>
      </c>
      <c r="J76" t="s">
        <v>634</v>
      </c>
      <c r="K76" t="s">
        <v>634</v>
      </c>
      <c r="L76" t="s">
        <v>634</v>
      </c>
      <c r="M76" t="s">
        <v>634</v>
      </c>
      <c r="N76" t="s">
        <v>634</v>
      </c>
      <c r="O76" t="s">
        <v>634</v>
      </c>
      <c r="P76" t="s">
        <v>634</v>
      </c>
      <c r="Q76" t="s">
        <v>634</v>
      </c>
      <c r="R76" t="s">
        <v>634</v>
      </c>
      <c r="S76" t="s">
        <v>634</v>
      </c>
    </row>
    <row r="77" spans="1:19" x14ac:dyDescent="0.3">
      <c r="A77" s="140"/>
      <c r="B77" s="112"/>
      <c r="C77" s="112"/>
      <c r="D77" s="141" t="s">
        <v>675</v>
      </c>
    </row>
    <row r="78" spans="1:19" x14ac:dyDescent="0.3">
      <c r="A78" s="140"/>
      <c r="B78" s="112"/>
      <c r="C78" s="112"/>
      <c r="D78" s="141" t="s">
        <v>669</v>
      </c>
      <c r="E78" t="s">
        <v>678</v>
      </c>
      <c r="F78" t="s">
        <v>634</v>
      </c>
      <c r="G78" t="s">
        <v>634</v>
      </c>
      <c r="H78" t="s">
        <v>634</v>
      </c>
      <c r="I78" t="s">
        <v>634</v>
      </c>
      <c r="J78" t="s">
        <v>634</v>
      </c>
      <c r="K78" t="s">
        <v>634</v>
      </c>
      <c r="L78" t="s">
        <v>634</v>
      </c>
      <c r="M78" t="s">
        <v>634</v>
      </c>
      <c r="N78" t="s">
        <v>634</v>
      </c>
      <c r="O78" t="s">
        <v>634</v>
      </c>
      <c r="P78" t="s">
        <v>634</v>
      </c>
      <c r="Q78" t="s">
        <v>634</v>
      </c>
      <c r="R78" t="s">
        <v>634</v>
      </c>
      <c r="S78" t="s">
        <v>634</v>
      </c>
    </row>
    <row r="79" spans="1:19" x14ac:dyDescent="0.3">
      <c r="A79" s="140"/>
      <c r="B79" s="112"/>
      <c r="C79" s="112"/>
      <c r="D79" s="141" t="s">
        <v>594</v>
      </c>
      <c r="E79" s="189" t="s">
        <v>471</v>
      </c>
      <c r="F79" t="s">
        <v>634</v>
      </c>
      <c r="G79" t="s">
        <v>634</v>
      </c>
      <c r="H79" t="s">
        <v>634</v>
      </c>
      <c r="I79" t="s">
        <v>634</v>
      </c>
      <c r="J79" t="s">
        <v>634</v>
      </c>
      <c r="K79" t="s">
        <v>634</v>
      </c>
      <c r="L79" t="s">
        <v>634</v>
      </c>
      <c r="M79" t="s">
        <v>634</v>
      </c>
      <c r="N79" t="s">
        <v>634</v>
      </c>
      <c r="O79" t="s">
        <v>634</v>
      </c>
      <c r="P79" t="s">
        <v>634</v>
      </c>
      <c r="Q79" t="s">
        <v>634</v>
      </c>
      <c r="R79" t="s">
        <v>634</v>
      </c>
      <c r="S79" t="s">
        <v>634</v>
      </c>
    </row>
    <row r="80" spans="1:19" x14ac:dyDescent="0.3">
      <c r="A80" s="140"/>
      <c r="B80" s="112"/>
      <c r="C80" s="112"/>
      <c r="D80" s="141" t="s">
        <v>649</v>
      </c>
      <c r="E80" s="189" t="s">
        <v>581</v>
      </c>
    </row>
    <row r="81" spans="1:19" x14ac:dyDescent="0.3">
      <c r="A81" s="140"/>
      <c r="B81" s="112"/>
      <c r="C81" s="112" t="s">
        <v>676</v>
      </c>
      <c r="D81" s="141"/>
      <c r="E81" s="189" t="s">
        <v>720</v>
      </c>
    </row>
    <row r="82" spans="1:19" x14ac:dyDescent="0.3">
      <c r="A82" s="140" t="s">
        <v>677</v>
      </c>
      <c r="B82" s="112"/>
      <c r="C82" s="112"/>
      <c r="D82" s="141"/>
      <c r="F82" t="s">
        <v>634</v>
      </c>
      <c r="G82" t="s">
        <v>634</v>
      </c>
      <c r="H82" t="s">
        <v>634</v>
      </c>
      <c r="I82" t="s">
        <v>634</v>
      </c>
      <c r="J82" t="s">
        <v>634</v>
      </c>
      <c r="K82" t="s">
        <v>634</v>
      </c>
      <c r="L82" t="s">
        <v>634</v>
      </c>
      <c r="M82" t="s">
        <v>634</v>
      </c>
      <c r="N82" t="s">
        <v>634</v>
      </c>
      <c r="O82" t="s">
        <v>634</v>
      </c>
      <c r="P82" t="s">
        <v>634</v>
      </c>
      <c r="Q82" t="s">
        <v>634</v>
      </c>
      <c r="R82" t="s">
        <v>634</v>
      </c>
      <c r="S82" t="s">
        <v>634</v>
      </c>
    </row>
    <row r="83" spans="1:19" x14ac:dyDescent="0.3">
      <c r="A83" s="140"/>
      <c r="B83" s="112" t="s">
        <v>678</v>
      </c>
      <c r="C83" s="112"/>
      <c r="D83" s="141"/>
      <c r="F83" s="5">
        <v>2</v>
      </c>
      <c r="G83" s="1">
        <v>2</v>
      </c>
      <c r="H83" s="1">
        <v>2</v>
      </c>
      <c r="I83" s="1">
        <v>3</v>
      </c>
      <c r="J83" s="1">
        <v>5</v>
      </c>
      <c r="K83" s="1">
        <v>5</v>
      </c>
      <c r="L83" s="1">
        <v>2</v>
      </c>
      <c r="M83" s="1">
        <v>3</v>
      </c>
      <c r="N83" s="1">
        <v>1</v>
      </c>
      <c r="O83" s="1">
        <v>2</v>
      </c>
      <c r="P83" s="1">
        <v>2</v>
      </c>
      <c r="Q83" s="1">
        <v>3</v>
      </c>
      <c r="R83" t="s">
        <v>634</v>
      </c>
      <c r="S83" t="s">
        <v>634</v>
      </c>
    </row>
    <row r="84" spans="1:19" x14ac:dyDescent="0.3">
      <c r="A84" s="140"/>
      <c r="B84" s="112"/>
      <c r="C84" s="112" t="s">
        <v>14</v>
      </c>
      <c r="D84" s="141"/>
    </row>
    <row r="85" spans="1:19" x14ac:dyDescent="0.3">
      <c r="A85" s="140"/>
      <c r="B85" s="112"/>
      <c r="C85" s="112" t="s">
        <v>679</v>
      </c>
      <c r="D85" s="141"/>
    </row>
    <row r="86" spans="1:19" x14ac:dyDescent="0.3">
      <c r="A86" s="140"/>
      <c r="B86" s="112"/>
      <c r="C86" s="112" t="s">
        <v>680</v>
      </c>
      <c r="D86" s="141"/>
      <c r="F86" t="s">
        <v>634</v>
      </c>
      <c r="G86" t="s">
        <v>634</v>
      </c>
      <c r="H86" t="s">
        <v>634</v>
      </c>
      <c r="I86" t="s">
        <v>634</v>
      </c>
      <c r="J86" t="s">
        <v>634</v>
      </c>
      <c r="K86" t="s">
        <v>634</v>
      </c>
      <c r="L86" t="s">
        <v>634</v>
      </c>
      <c r="M86" t="s">
        <v>634</v>
      </c>
      <c r="N86" t="s">
        <v>634</v>
      </c>
      <c r="O86" t="s">
        <v>634</v>
      </c>
      <c r="P86" t="s">
        <v>634</v>
      </c>
      <c r="Q86" t="s">
        <v>634</v>
      </c>
      <c r="R86" t="s">
        <v>634</v>
      </c>
      <c r="S86" t="s">
        <v>634</v>
      </c>
    </row>
    <row r="87" spans="1:19" x14ac:dyDescent="0.3">
      <c r="A87" s="140"/>
      <c r="B87" s="112"/>
      <c r="C87" s="112" t="s">
        <v>681</v>
      </c>
      <c r="D87" s="141"/>
      <c r="F87" t="s">
        <v>634</v>
      </c>
      <c r="G87" t="s">
        <v>634</v>
      </c>
      <c r="H87" t="s">
        <v>634</v>
      </c>
      <c r="I87" t="s">
        <v>634</v>
      </c>
      <c r="J87" t="s">
        <v>634</v>
      </c>
      <c r="K87" t="s">
        <v>634</v>
      </c>
      <c r="L87" t="s">
        <v>634</v>
      </c>
      <c r="M87" t="s">
        <v>634</v>
      </c>
      <c r="N87" t="s">
        <v>634</v>
      </c>
      <c r="O87" t="s">
        <v>634</v>
      </c>
      <c r="P87" t="s">
        <v>634</v>
      </c>
      <c r="Q87" t="s">
        <v>634</v>
      </c>
      <c r="R87" t="s">
        <v>634</v>
      </c>
      <c r="S87" t="s">
        <v>634</v>
      </c>
    </row>
    <row r="88" spans="1:19" x14ac:dyDescent="0.3">
      <c r="A88" s="140"/>
      <c r="B88" s="112"/>
      <c r="C88" s="112" t="s">
        <v>682</v>
      </c>
      <c r="D88" s="141"/>
      <c r="F88" t="s">
        <v>634</v>
      </c>
      <c r="G88" t="s">
        <v>634</v>
      </c>
      <c r="H88" t="s">
        <v>634</v>
      </c>
      <c r="I88" t="s">
        <v>634</v>
      </c>
      <c r="J88" t="s">
        <v>634</v>
      </c>
      <c r="K88" t="s">
        <v>634</v>
      </c>
      <c r="L88" t="s">
        <v>634</v>
      </c>
      <c r="M88" t="s">
        <v>634</v>
      </c>
      <c r="N88" t="s">
        <v>634</v>
      </c>
      <c r="O88" t="s">
        <v>634</v>
      </c>
      <c r="P88" t="s">
        <v>634</v>
      </c>
      <c r="Q88" t="s">
        <v>634</v>
      </c>
      <c r="R88" t="s">
        <v>634</v>
      </c>
      <c r="S88" t="s">
        <v>634</v>
      </c>
    </row>
    <row r="89" spans="1:19" x14ac:dyDescent="0.3">
      <c r="A89" s="140"/>
      <c r="B89" s="112"/>
      <c r="C89" s="112" t="s">
        <v>683</v>
      </c>
      <c r="D89" s="141"/>
      <c r="F89" t="s">
        <v>634</v>
      </c>
      <c r="G89" t="s">
        <v>634</v>
      </c>
      <c r="H89" t="s">
        <v>634</v>
      </c>
      <c r="I89" t="s">
        <v>634</v>
      </c>
      <c r="J89" t="s">
        <v>634</v>
      </c>
      <c r="K89" t="s">
        <v>634</v>
      </c>
      <c r="L89" t="s">
        <v>634</v>
      </c>
      <c r="M89" t="s">
        <v>634</v>
      </c>
      <c r="N89" t="s">
        <v>634</v>
      </c>
      <c r="O89" t="s">
        <v>634</v>
      </c>
      <c r="P89" t="s">
        <v>634</v>
      </c>
      <c r="Q89" t="s">
        <v>634</v>
      </c>
      <c r="R89" t="s">
        <v>634</v>
      </c>
      <c r="S89" t="s">
        <v>634</v>
      </c>
    </row>
    <row r="90" spans="1:19" x14ac:dyDescent="0.3">
      <c r="A90" s="140"/>
      <c r="B90" s="112"/>
      <c r="C90" s="112" t="s">
        <v>487</v>
      </c>
      <c r="D90" s="141"/>
    </row>
    <row r="91" spans="1:19" x14ac:dyDescent="0.3">
      <c r="A91" s="140"/>
      <c r="B91" s="112"/>
      <c r="C91" s="112"/>
      <c r="D91" s="141" t="s">
        <v>684</v>
      </c>
    </row>
    <row r="92" spans="1:19" x14ac:dyDescent="0.3">
      <c r="A92" s="140"/>
      <c r="B92" s="112"/>
      <c r="C92" s="112"/>
      <c r="D92" s="141" t="s">
        <v>685</v>
      </c>
      <c r="E92" t="s">
        <v>720</v>
      </c>
    </row>
    <row r="93" spans="1:19" x14ac:dyDescent="0.3">
      <c r="A93" s="140"/>
      <c r="B93" s="112"/>
      <c r="C93" s="112"/>
      <c r="D93" s="141" t="s">
        <v>686</v>
      </c>
      <c r="E93" s="189" t="s">
        <v>471</v>
      </c>
    </row>
    <row r="94" spans="1:19" x14ac:dyDescent="0.3">
      <c r="A94" s="140"/>
      <c r="B94" s="112"/>
      <c r="C94" s="112"/>
      <c r="D94" s="141" t="s">
        <v>687</v>
      </c>
      <c r="E94" s="189" t="s">
        <v>581</v>
      </c>
    </row>
    <row r="95" spans="1:19" x14ac:dyDescent="0.3">
      <c r="A95" s="140"/>
      <c r="B95" s="112"/>
      <c r="C95" s="112"/>
      <c r="D95" s="141" t="s">
        <v>688</v>
      </c>
      <c r="E95" s="189" t="s">
        <v>721</v>
      </c>
    </row>
    <row r="96" spans="1:19" x14ac:dyDescent="0.3">
      <c r="A96" s="140" t="s">
        <v>677</v>
      </c>
      <c r="B96" s="112"/>
      <c r="C96" s="112"/>
      <c r="D96" s="141"/>
      <c r="E96" s="189" t="s">
        <v>722</v>
      </c>
      <c r="F96">
        <v>7</v>
      </c>
      <c r="G96">
        <v>7</v>
      </c>
      <c r="H96">
        <v>7</v>
      </c>
      <c r="I96">
        <v>10</v>
      </c>
      <c r="J96">
        <v>15</v>
      </c>
      <c r="K96">
        <v>15</v>
      </c>
      <c r="L96">
        <v>8</v>
      </c>
      <c r="M96">
        <v>15</v>
      </c>
      <c r="N96">
        <v>8</v>
      </c>
      <c r="O96">
        <v>15</v>
      </c>
      <c r="P96">
        <v>10</v>
      </c>
      <c r="Q96">
        <v>12</v>
      </c>
    </row>
    <row r="97" spans="1:19" x14ac:dyDescent="0.3">
      <c r="A97" s="140"/>
      <c r="B97" s="112" t="s">
        <v>723</v>
      </c>
      <c r="C97" s="112"/>
      <c r="D97" s="141"/>
      <c r="E97" s="189" t="s">
        <v>724</v>
      </c>
    </row>
    <row r="98" spans="1:19" x14ac:dyDescent="0.3">
      <c r="A98" s="140"/>
      <c r="B98" s="112"/>
      <c r="C98" s="112" t="s">
        <v>16</v>
      </c>
      <c r="D98" s="141"/>
      <c r="E98" s="189" t="s">
        <v>725</v>
      </c>
      <c r="F98" t="s">
        <v>634</v>
      </c>
      <c r="G98" t="s">
        <v>634</v>
      </c>
      <c r="H98" t="s">
        <v>634</v>
      </c>
      <c r="I98" t="s">
        <v>634</v>
      </c>
      <c r="J98" t="s">
        <v>634</v>
      </c>
      <c r="K98" t="s">
        <v>634</v>
      </c>
      <c r="L98" t="s">
        <v>634</v>
      </c>
      <c r="M98" t="s">
        <v>634</v>
      </c>
      <c r="N98" t="s">
        <v>634</v>
      </c>
      <c r="O98" t="s">
        <v>634</v>
      </c>
      <c r="P98" t="s">
        <v>634</v>
      </c>
      <c r="Q98" t="s">
        <v>634</v>
      </c>
      <c r="R98" t="s">
        <v>634</v>
      </c>
      <c r="S98" t="s">
        <v>634</v>
      </c>
    </row>
    <row r="99" spans="1:19" x14ac:dyDescent="0.3">
      <c r="A99" s="140"/>
      <c r="B99" s="112"/>
      <c r="C99" s="112" t="s">
        <v>689</v>
      </c>
      <c r="D99" s="141"/>
      <c r="E99" s="189" t="s">
        <v>726</v>
      </c>
      <c r="F99" t="s">
        <v>634</v>
      </c>
      <c r="G99" t="s">
        <v>634</v>
      </c>
      <c r="H99" t="s">
        <v>634</v>
      </c>
      <c r="I99" t="s">
        <v>634</v>
      </c>
      <c r="J99" t="s">
        <v>634</v>
      </c>
      <c r="K99" t="s">
        <v>634</v>
      </c>
      <c r="L99" t="s">
        <v>634</v>
      </c>
      <c r="M99" t="s">
        <v>634</v>
      </c>
      <c r="N99" t="s">
        <v>634</v>
      </c>
      <c r="O99" t="s">
        <v>634</v>
      </c>
      <c r="P99" t="s">
        <v>634</v>
      </c>
      <c r="Q99" t="s">
        <v>634</v>
      </c>
      <c r="R99" t="s">
        <v>634</v>
      </c>
      <c r="S99" t="s">
        <v>634</v>
      </c>
    </row>
    <row r="100" spans="1:19" x14ac:dyDescent="0.3">
      <c r="A100" s="140"/>
      <c r="B100" s="112"/>
      <c r="C100" s="112" t="s">
        <v>691</v>
      </c>
      <c r="D100" s="141"/>
      <c r="F100" t="s">
        <v>634</v>
      </c>
      <c r="G100" t="s">
        <v>634</v>
      </c>
      <c r="H100" t="s">
        <v>634</v>
      </c>
      <c r="I100" t="s">
        <v>634</v>
      </c>
      <c r="J100" t="s">
        <v>634</v>
      </c>
      <c r="K100" t="s">
        <v>634</v>
      </c>
      <c r="L100" t="s">
        <v>634</v>
      </c>
      <c r="M100" t="s">
        <v>634</v>
      </c>
      <c r="N100" t="s">
        <v>634</v>
      </c>
      <c r="O100" t="s">
        <v>634</v>
      </c>
      <c r="P100" t="s">
        <v>634</v>
      </c>
      <c r="Q100" t="s">
        <v>634</v>
      </c>
      <c r="R100" t="s">
        <v>634</v>
      </c>
      <c r="S100" t="s">
        <v>634</v>
      </c>
    </row>
    <row r="101" spans="1:19" x14ac:dyDescent="0.3">
      <c r="A101" s="140"/>
      <c r="B101" s="112"/>
      <c r="C101" s="112" t="s">
        <v>692</v>
      </c>
      <c r="D101" s="141"/>
    </row>
    <row r="102" spans="1:19" x14ac:dyDescent="0.3">
      <c r="A102" s="140"/>
      <c r="B102" s="112"/>
      <c r="C102" s="112"/>
      <c r="D102" s="141" t="s">
        <v>690</v>
      </c>
    </row>
    <row r="103" spans="1:19" x14ac:dyDescent="0.3">
      <c r="A103" s="140"/>
      <c r="B103" s="112"/>
      <c r="C103" s="112"/>
      <c r="D103" s="141" t="s">
        <v>693</v>
      </c>
      <c r="F103" t="s">
        <v>634</v>
      </c>
      <c r="G103" t="s">
        <v>634</v>
      </c>
      <c r="H103" t="s">
        <v>634</v>
      </c>
      <c r="I103" t="s">
        <v>634</v>
      </c>
      <c r="J103" t="s">
        <v>634</v>
      </c>
      <c r="K103" t="s">
        <v>634</v>
      </c>
      <c r="L103" t="s">
        <v>634</v>
      </c>
      <c r="M103" t="s">
        <v>634</v>
      </c>
      <c r="N103" t="s">
        <v>634</v>
      </c>
      <c r="O103" t="s">
        <v>634</v>
      </c>
      <c r="P103" t="s">
        <v>634</v>
      </c>
      <c r="Q103" t="s">
        <v>634</v>
      </c>
      <c r="R103" t="s">
        <v>634</v>
      </c>
      <c r="S103" t="s">
        <v>634</v>
      </c>
    </row>
    <row r="104" spans="1:19" x14ac:dyDescent="0.3">
      <c r="A104" s="140"/>
      <c r="B104" s="112"/>
      <c r="C104" s="112"/>
      <c r="D104" s="141" t="s">
        <v>694</v>
      </c>
      <c r="F104" t="s">
        <v>634</v>
      </c>
      <c r="G104" t="s">
        <v>634</v>
      </c>
      <c r="H104" t="s">
        <v>634</v>
      </c>
      <c r="I104" t="s">
        <v>634</v>
      </c>
      <c r="J104" t="s">
        <v>634</v>
      </c>
      <c r="K104" t="s">
        <v>634</v>
      </c>
      <c r="L104" t="s">
        <v>634</v>
      </c>
      <c r="M104" t="s">
        <v>634</v>
      </c>
      <c r="N104" t="s">
        <v>634</v>
      </c>
      <c r="O104" t="s">
        <v>634</v>
      </c>
      <c r="P104" t="s">
        <v>634</v>
      </c>
      <c r="Q104" t="s">
        <v>634</v>
      </c>
      <c r="R104" t="s">
        <v>634</v>
      </c>
      <c r="S104" t="s">
        <v>634</v>
      </c>
    </row>
    <row r="105" spans="1:19" x14ac:dyDescent="0.3">
      <c r="A105" s="140"/>
      <c r="B105" s="112"/>
      <c r="C105" s="112"/>
      <c r="D105" s="141" t="s">
        <v>695</v>
      </c>
      <c r="F105" t="s">
        <v>634</v>
      </c>
      <c r="G105" t="s">
        <v>634</v>
      </c>
      <c r="H105" t="s">
        <v>634</v>
      </c>
      <c r="I105" t="s">
        <v>634</v>
      </c>
      <c r="J105" t="s">
        <v>634</v>
      </c>
      <c r="K105" t="s">
        <v>634</v>
      </c>
      <c r="L105" t="s">
        <v>634</v>
      </c>
      <c r="M105" t="s">
        <v>634</v>
      </c>
      <c r="N105" t="s">
        <v>634</v>
      </c>
      <c r="O105" t="s">
        <v>634</v>
      </c>
      <c r="P105" t="s">
        <v>634</v>
      </c>
      <c r="Q105" t="s">
        <v>634</v>
      </c>
      <c r="R105" t="s">
        <v>634</v>
      </c>
      <c r="S105" t="s">
        <v>634</v>
      </c>
    </row>
    <row r="106" spans="1:19" x14ac:dyDescent="0.3">
      <c r="A106" s="140"/>
      <c r="B106" s="112"/>
      <c r="C106" s="112"/>
      <c r="D106" s="141" t="s">
        <v>696</v>
      </c>
      <c r="F106" t="s">
        <v>634</v>
      </c>
      <c r="G106" t="s">
        <v>634</v>
      </c>
      <c r="H106" t="s">
        <v>634</v>
      </c>
      <c r="I106" t="s">
        <v>634</v>
      </c>
      <c r="J106" t="s">
        <v>634</v>
      </c>
      <c r="K106" t="s">
        <v>634</v>
      </c>
      <c r="L106" t="s">
        <v>634</v>
      </c>
      <c r="M106" t="s">
        <v>634</v>
      </c>
      <c r="N106" t="s">
        <v>634</v>
      </c>
      <c r="O106" t="s">
        <v>634</v>
      </c>
      <c r="P106" t="s">
        <v>634</v>
      </c>
      <c r="Q106" t="s">
        <v>634</v>
      </c>
      <c r="R106" t="s">
        <v>634</v>
      </c>
      <c r="S106" t="s">
        <v>634</v>
      </c>
    </row>
    <row r="107" spans="1:19" x14ac:dyDescent="0.3">
      <c r="A107" s="140"/>
      <c r="B107" s="112"/>
      <c r="C107" s="112"/>
      <c r="D107" s="141" t="s">
        <v>697</v>
      </c>
      <c r="E107" s="189" t="s">
        <v>583</v>
      </c>
      <c r="F107" t="s">
        <v>634</v>
      </c>
      <c r="G107" t="s">
        <v>634</v>
      </c>
      <c r="H107" t="s">
        <v>634</v>
      </c>
      <c r="I107" t="s">
        <v>634</v>
      </c>
      <c r="J107" t="s">
        <v>634</v>
      </c>
      <c r="K107" t="s">
        <v>634</v>
      </c>
      <c r="L107" t="s">
        <v>634</v>
      </c>
      <c r="M107" t="s">
        <v>634</v>
      </c>
      <c r="N107" t="s">
        <v>634</v>
      </c>
      <c r="O107" t="s">
        <v>634</v>
      </c>
      <c r="P107" t="s">
        <v>634</v>
      </c>
      <c r="Q107" t="s">
        <v>634</v>
      </c>
      <c r="R107" t="s">
        <v>634</v>
      </c>
      <c r="S107" t="s">
        <v>634</v>
      </c>
    </row>
    <row r="108" spans="1:19" x14ac:dyDescent="0.3">
      <c r="A108" s="140"/>
      <c r="B108" s="112"/>
      <c r="C108" s="112"/>
      <c r="D108" s="141" t="s">
        <v>690</v>
      </c>
      <c r="E108" s="189" t="s">
        <v>721</v>
      </c>
    </row>
    <row r="109" spans="1:19" x14ac:dyDescent="0.3">
      <c r="A109" s="140"/>
      <c r="B109" s="112"/>
      <c r="C109" s="112" t="s">
        <v>698</v>
      </c>
      <c r="D109" s="141"/>
      <c r="E109" s="189" t="s">
        <v>724</v>
      </c>
      <c r="F109" t="s">
        <v>634</v>
      </c>
      <c r="G109" t="s">
        <v>634</v>
      </c>
      <c r="H109" t="s">
        <v>634</v>
      </c>
      <c r="I109" t="s">
        <v>634</v>
      </c>
      <c r="J109" t="s">
        <v>634</v>
      </c>
      <c r="K109" t="s">
        <v>634</v>
      </c>
      <c r="L109" t="s">
        <v>634</v>
      </c>
      <c r="M109" t="s">
        <v>634</v>
      </c>
      <c r="N109" t="s">
        <v>634</v>
      </c>
      <c r="O109" t="s">
        <v>634</v>
      </c>
      <c r="P109" t="s">
        <v>634</v>
      </c>
      <c r="Q109" t="s">
        <v>634</v>
      </c>
      <c r="R109" t="s">
        <v>634</v>
      </c>
      <c r="S109" t="s">
        <v>634</v>
      </c>
    </row>
    <row r="110" spans="1:19" x14ac:dyDescent="0.3">
      <c r="A110" s="140"/>
      <c r="B110" s="112"/>
      <c r="C110" s="112" t="s">
        <v>691</v>
      </c>
      <c r="D110" s="141"/>
      <c r="E110" s="189" t="s">
        <v>725</v>
      </c>
      <c r="F110" t="s">
        <v>634</v>
      </c>
      <c r="G110" t="s">
        <v>634</v>
      </c>
      <c r="H110" t="s">
        <v>634</v>
      </c>
      <c r="I110" t="s">
        <v>634</v>
      </c>
      <c r="J110" t="s">
        <v>634</v>
      </c>
      <c r="K110" t="s">
        <v>634</v>
      </c>
      <c r="L110" t="s">
        <v>634</v>
      </c>
      <c r="M110" t="s">
        <v>634</v>
      </c>
      <c r="N110" t="s">
        <v>634</v>
      </c>
      <c r="O110" t="s">
        <v>634</v>
      </c>
      <c r="P110" t="s">
        <v>634</v>
      </c>
      <c r="Q110" t="s">
        <v>634</v>
      </c>
      <c r="R110" t="s">
        <v>634</v>
      </c>
      <c r="S110" t="s">
        <v>634</v>
      </c>
    </row>
    <row r="111" spans="1:19" x14ac:dyDescent="0.3">
      <c r="A111" s="140"/>
      <c r="B111" s="112"/>
      <c r="C111" s="112" t="s">
        <v>692</v>
      </c>
      <c r="D111" s="141"/>
      <c r="E111" s="189" t="s">
        <v>727</v>
      </c>
      <c r="F111" t="s">
        <v>634</v>
      </c>
      <c r="G111" t="s">
        <v>634</v>
      </c>
      <c r="H111" t="s">
        <v>634</v>
      </c>
      <c r="I111" t="s">
        <v>634</v>
      </c>
      <c r="J111" t="s">
        <v>634</v>
      </c>
      <c r="K111" t="s">
        <v>634</v>
      </c>
      <c r="L111" t="s">
        <v>634</v>
      </c>
      <c r="M111" t="s">
        <v>634</v>
      </c>
      <c r="N111" t="s">
        <v>634</v>
      </c>
      <c r="O111" t="s">
        <v>634</v>
      </c>
      <c r="P111" t="s">
        <v>634</v>
      </c>
      <c r="Q111" t="s">
        <v>634</v>
      </c>
      <c r="R111" t="s">
        <v>634</v>
      </c>
      <c r="S111" t="s">
        <v>634</v>
      </c>
    </row>
    <row r="112" spans="1:19" x14ac:dyDescent="0.3">
      <c r="A112" s="140"/>
      <c r="B112" s="112"/>
      <c r="C112" s="112"/>
      <c r="D112" s="141" t="s">
        <v>693</v>
      </c>
      <c r="E112" s="189" t="s">
        <v>728</v>
      </c>
    </row>
    <row r="113" spans="1:19" x14ac:dyDescent="0.3">
      <c r="A113" s="140"/>
      <c r="B113" s="112"/>
      <c r="C113" s="112"/>
      <c r="D113" s="141" t="s">
        <v>694</v>
      </c>
      <c r="E113" s="189" t="s">
        <v>729</v>
      </c>
      <c r="F113" t="s">
        <v>634</v>
      </c>
      <c r="G113" t="s">
        <v>634</v>
      </c>
      <c r="H113" t="s">
        <v>634</v>
      </c>
      <c r="I113" t="s">
        <v>634</v>
      </c>
      <c r="J113" t="s">
        <v>634</v>
      </c>
      <c r="K113" t="s">
        <v>634</v>
      </c>
      <c r="L113" t="s">
        <v>634</v>
      </c>
      <c r="M113" t="s">
        <v>634</v>
      </c>
      <c r="N113" t="s">
        <v>634</v>
      </c>
      <c r="O113" t="s">
        <v>634</v>
      </c>
      <c r="P113" t="s">
        <v>634</v>
      </c>
      <c r="Q113" t="s">
        <v>634</v>
      </c>
      <c r="R113" t="s">
        <v>634</v>
      </c>
      <c r="S113" t="s">
        <v>634</v>
      </c>
    </row>
    <row r="114" spans="1:19" x14ac:dyDescent="0.3">
      <c r="A114" s="140"/>
      <c r="B114" s="112"/>
      <c r="C114" s="112"/>
      <c r="D114" s="141" t="s">
        <v>695</v>
      </c>
      <c r="F114" t="s">
        <v>634</v>
      </c>
      <c r="G114" t="s">
        <v>634</v>
      </c>
      <c r="H114" t="s">
        <v>634</v>
      </c>
      <c r="I114" t="s">
        <v>634</v>
      </c>
      <c r="J114" t="s">
        <v>634</v>
      </c>
      <c r="K114" t="s">
        <v>634</v>
      </c>
      <c r="L114" t="s">
        <v>634</v>
      </c>
      <c r="M114" t="s">
        <v>634</v>
      </c>
      <c r="N114" t="s">
        <v>634</v>
      </c>
      <c r="O114" t="s">
        <v>634</v>
      </c>
      <c r="P114" t="s">
        <v>634</v>
      </c>
      <c r="Q114" t="s">
        <v>634</v>
      </c>
      <c r="R114" t="s">
        <v>634</v>
      </c>
      <c r="S114" t="s">
        <v>634</v>
      </c>
    </row>
    <row r="115" spans="1:19" x14ac:dyDescent="0.3">
      <c r="A115" s="140"/>
      <c r="B115" s="112"/>
      <c r="C115" s="112"/>
      <c r="D115" s="141" t="s">
        <v>696</v>
      </c>
      <c r="F115" t="s">
        <v>634</v>
      </c>
      <c r="G115" t="s">
        <v>634</v>
      </c>
      <c r="H115" t="s">
        <v>634</v>
      </c>
      <c r="I115" t="s">
        <v>634</v>
      </c>
      <c r="J115" t="s">
        <v>634</v>
      </c>
      <c r="K115" t="s">
        <v>634</v>
      </c>
      <c r="L115" t="s">
        <v>634</v>
      </c>
      <c r="M115" t="s">
        <v>634</v>
      </c>
      <c r="N115" t="s">
        <v>634</v>
      </c>
      <c r="O115" t="s">
        <v>634</v>
      </c>
      <c r="P115" t="s">
        <v>634</v>
      </c>
      <c r="Q115" t="s">
        <v>634</v>
      </c>
      <c r="R115" t="s">
        <v>634</v>
      </c>
      <c r="S115" t="s">
        <v>634</v>
      </c>
    </row>
    <row r="116" spans="1:19" x14ac:dyDescent="0.3">
      <c r="A116" s="140"/>
      <c r="B116" s="112"/>
      <c r="C116" s="112"/>
      <c r="D116" s="141" t="s">
        <v>697</v>
      </c>
      <c r="F116" t="s">
        <v>634</v>
      </c>
      <c r="G116" t="s">
        <v>634</v>
      </c>
      <c r="H116" t="s">
        <v>634</v>
      </c>
      <c r="I116" t="s">
        <v>634</v>
      </c>
      <c r="J116" t="s">
        <v>634</v>
      </c>
      <c r="K116" t="s">
        <v>634</v>
      </c>
      <c r="L116" t="s">
        <v>634</v>
      </c>
      <c r="M116" t="s">
        <v>634</v>
      </c>
      <c r="N116" t="s">
        <v>634</v>
      </c>
      <c r="O116" t="s">
        <v>634</v>
      </c>
      <c r="P116" t="s">
        <v>634</v>
      </c>
      <c r="Q116" t="s">
        <v>634</v>
      </c>
      <c r="R116" t="s">
        <v>634</v>
      </c>
      <c r="S116" t="s">
        <v>634</v>
      </c>
    </row>
    <row r="117" spans="1:19" x14ac:dyDescent="0.3">
      <c r="A117" s="140"/>
      <c r="B117" s="112"/>
      <c r="C117" s="112" t="s">
        <v>699</v>
      </c>
      <c r="D117" s="141"/>
      <c r="F117" t="s">
        <v>634</v>
      </c>
      <c r="G117" t="s">
        <v>634</v>
      </c>
      <c r="H117" t="s">
        <v>634</v>
      </c>
      <c r="I117" t="s">
        <v>634</v>
      </c>
      <c r="J117" t="s">
        <v>634</v>
      </c>
      <c r="K117" t="s">
        <v>634</v>
      </c>
      <c r="L117" t="s">
        <v>634</v>
      </c>
      <c r="M117" t="s">
        <v>634</v>
      </c>
      <c r="N117" t="s">
        <v>634</v>
      </c>
      <c r="O117" t="s">
        <v>634</v>
      </c>
      <c r="P117" t="s">
        <v>634</v>
      </c>
      <c r="Q117" t="s">
        <v>634</v>
      </c>
      <c r="R117" t="s">
        <v>634</v>
      </c>
      <c r="S117" t="s">
        <v>634</v>
      </c>
    </row>
    <row r="118" spans="1:19" x14ac:dyDescent="0.3">
      <c r="A118" s="140"/>
      <c r="B118" s="112"/>
      <c r="C118" s="112" t="s">
        <v>700</v>
      </c>
      <c r="D118" s="141"/>
      <c r="F118" t="s">
        <v>634</v>
      </c>
      <c r="G118" t="s">
        <v>634</v>
      </c>
      <c r="H118" t="s">
        <v>634</v>
      </c>
      <c r="I118" t="s">
        <v>634</v>
      </c>
      <c r="J118" t="s">
        <v>634</v>
      </c>
      <c r="K118" t="s">
        <v>634</v>
      </c>
      <c r="L118" t="s">
        <v>634</v>
      </c>
      <c r="M118" t="s">
        <v>634</v>
      </c>
      <c r="N118" t="s">
        <v>634</v>
      </c>
      <c r="O118" t="s">
        <v>634</v>
      </c>
      <c r="P118" t="s">
        <v>634</v>
      </c>
      <c r="Q118" t="s">
        <v>634</v>
      </c>
      <c r="R118" t="s">
        <v>634</v>
      </c>
      <c r="S118" t="s">
        <v>634</v>
      </c>
    </row>
    <row r="119" spans="1:19" x14ac:dyDescent="0.3">
      <c r="A119" s="140"/>
      <c r="B119" s="112"/>
      <c r="C119" s="112" t="s">
        <v>701</v>
      </c>
      <c r="D119" s="141"/>
      <c r="E119" t="s">
        <v>730</v>
      </c>
    </row>
    <row r="120" spans="1:19" x14ac:dyDescent="0.3">
      <c r="A120" s="140"/>
      <c r="B120" s="112"/>
      <c r="C120" s="112"/>
      <c r="D120" s="141" t="s">
        <v>642</v>
      </c>
      <c r="E120" s="188" t="s">
        <v>471</v>
      </c>
      <c r="F120" t="s">
        <v>634</v>
      </c>
      <c r="G120" t="s">
        <v>634</v>
      </c>
      <c r="H120" t="s">
        <v>634</v>
      </c>
      <c r="I120" t="s">
        <v>634</v>
      </c>
      <c r="J120" t="s">
        <v>634</v>
      </c>
      <c r="K120" t="s">
        <v>634</v>
      </c>
      <c r="L120" t="s">
        <v>634</v>
      </c>
      <c r="M120" t="s">
        <v>634</v>
      </c>
      <c r="N120" t="s">
        <v>634</v>
      </c>
      <c r="O120" t="s">
        <v>634</v>
      </c>
      <c r="P120" t="s">
        <v>634</v>
      </c>
      <c r="Q120" t="s">
        <v>634</v>
      </c>
      <c r="R120" t="s">
        <v>634</v>
      </c>
      <c r="S120" t="s">
        <v>634</v>
      </c>
    </row>
    <row r="121" spans="1:19" x14ac:dyDescent="0.3">
      <c r="A121" s="140"/>
      <c r="B121" s="112"/>
      <c r="C121" s="112"/>
      <c r="D121" s="141" t="s">
        <v>702</v>
      </c>
      <c r="E121" s="188" t="s">
        <v>541</v>
      </c>
      <c r="F121" t="s">
        <v>634</v>
      </c>
      <c r="G121" t="s">
        <v>634</v>
      </c>
      <c r="H121" t="s">
        <v>634</v>
      </c>
      <c r="I121" t="s">
        <v>634</v>
      </c>
      <c r="J121" t="s">
        <v>634</v>
      </c>
      <c r="K121" t="s">
        <v>634</v>
      </c>
      <c r="L121" t="s">
        <v>634</v>
      </c>
      <c r="M121" t="s">
        <v>634</v>
      </c>
      <c r="N121" t="s">
        <v>634</v>
      </c>
      <c r="O121" t="s">
        <v>634</v>
      </c>
      <c r="P121" t="s">
        <v>634</v>
      </c>
      <c r="Q121" t="s">
        <v>634</v>
      </c>
      <c r="R121" t="s">
        <v>634</v>
      </c>
      <c r="S121" t="s">
        <v>634</v>
      </c>
    </row>
    <row r="122" spans="1:19" x14ac:dyDescent="0.3">
      <c r="A122" s="140"/>
      <c r="B122" s="112"/>
      <c r="C122" s="112" t="s">
        <v>703</v>
      </c>
      <c r="D122" s="141"/>
      <c r="F122" t="s">
        <v>634</v>
      </c>
      <c r="G122" t="s">
        <v>634</v>
      </c>
      <c r="H122" t="s">
        <v>634</v>
      </c>
      <c r="I122" t="s">
        <v>634</v>
      </c>
      <c r="J122" t="s">
        <v>634</v>
      </c>
      <c r="K122" t="s">
        <v>634</v>
      </c>
      <c r="L122" t="s">
        <v>634</v>
      </c>
      <c r="M122" t="s">
        <v>634</v>
      </c>
      <c r="N122" t="s">
        <v>634</v>
      </c>
      <c r="O122" t="s">
        <v>634</v>
      </c>
      <c r="P122" t="s">
        <v>634</v>
      </c>
      <c r="Q122" t="s">
        <v>634</v>
      </c>
      <c r="R122" t="s">
        <v>634</v>
      </c>
      <c r="S122" t="s">
        <v>634</v>
      </c>
    </row>
    <row r="123" spans="1:19" x14ac:dyDescent="0.3">
      <c r="A123" s="140"/>
      <c r="B123" s="112"/>
      <c r="C123" s="112" t="s">
        <v>704</v>
      </c>
      <c r="D123" s="141"/>
      <c r="F123" t="s">
        <v>634</v>
      </c>
      <c r="G123" t="s">
        <v>634</v>
      </c>
      <c r="H123" t="s">
        <v>634</v>
      </c>
      <c r="I123" t="s">
        <v>634</v>
      </c>
      <c r="J123" t="s">
        <v>634</v>
      </c>
      <c r="K123" t="s">
        <v>634</v>
      </c>
      <c r="L123" t="s">
        <v>634</v>
      </c>
      <c r="M123" t="s">
        <v>634</v>
      </c>
      <c r="N123" t="s">
        <v>634</v>
      </c>
      <c r="O123" t="s">
        <v>634</v>
      </c>
      <c r="P123" t="s">
        <v>634</v>
      </c>
      <c r="Q123" t="s">
        <v>634</v>
      </c>
      <c r="R123" t="s">
        <v>634</v>
      </c>
      <c r="S123" t="s">
        <v>634</v>
      </c>
    </row>
    <row r="124" spans="1:19" x14ac:dyDescent="0.3">
      <c r="A124" s="140"/>
      <c r="B124" s="112" t="s">
        <v>705</v>
      </c>
      <c r="C124" s="112"/>
      <c r="D124" s="141"/>
      <c r="F124" s="5">
        <v>1</v>
      </c>
      <c r="G124" s="1">
        <v>1</v>
      </c>
      <c r="H124" s="1">
        <v>1</v>
      </c>
      <c r="I124" s="1">
        <v>2</v>
      </c>
      <c r="J124" s="1">
        <v>3</v>
      </c>
      <c r="K124" s="1">
        <v>3</v>
      </c>
      <c r="L124" s="1">
        <v>2</v>
      </c>
      <c r="M124" s="1">
        <v>3</v>
      </c>
      <c r="N124" s="1">
        <v>1</v>
      </c>
      <c r="O124" s="1">
        <v>2</v>
      </c>
      <c r="P124" s="1">
        <v>2</v>
      </c>
      <c r="Q124" s="1">
        <v>2</v>
      </c>
      <c r="R124" t="s">
        <v>634</v>
      </c>
      <c r="S124" t="s">
        <v>634</v>
      </c>
    </row>
    <row r="125" spans="1:19" x14ac:dyDescent="0.3">
      <c r="A125" s="140"/>
      <c r="B125" s="112"/>
      <c r="C125" s="112" t="s">
        <v>706</v>
      </c>
      <c r="D125" s="141"/>
      <c r="F125" t="s">
        <v>634</v>
      </c>
      <c r="G125" t="s">
        <v>634</v>
      </c>
      <c r="H125" t="s">
        <v>634</v>
      </c>
      <c r="I125" t="s">
        <v>634</v>
      </c>
      <c r="J125" t="s">
        <v>634</v>
      </c>
      <c r="K125" t="s">
        <v>634</v>
      </c>
      <c r="L125" t="s">
        <v>634</v>
      </c>
      <c r="M125" t="s">
        <v>634</v>
      </c>
      <c r="N125" t="s">
        <v>634</v>
      </c>
      <c r="O125" t="s">
        <v>634</v>
      </c>
      <c r="P125" t="s">
        <v>634</v>
      </c>
      <c r="Q125" t="s">
        <v>634</v>
      </c>
      <c r="R125" t="s">
        <v>634</v>
      </c>
      <c r="S125" t="s">
        <v>634</v>
      </c>
    </row>
    <row r="126" spans="1:19" x14ac:dyDescent="0.3">
      <c r="A126" s="140"/>
      <c r="B126" s="112"/>
      <c r="C126" s="112" t="s">
        <v>642</v>
      </c>
      <c r="D126" s="141"/>
      <c r="F126" t="s">
        <v>634</v>
      </c>
      <c r="G126" t="s">
        <v>634</v>
      </c>
      <c r="H126" t="s">
        <v>634</v>
      </c>
      <c r="I126" t="s">
        <v>634</v>
      </c>
      <c r="J126" t="s">
        <v>634</v>
      </c>
      <c r="K126" t="s">
        <v>634</v>
      </c>
      <c r="L126" t="s">
        <v>634</v>
      </c>
      <c r="M126" t="s">
        <v>634</v>
      </c>
      <c r="N126" t="s">
        <v>634</v>
      </c>
      <c r="O126" t="s">
        <v>634</v>
      </c>
      <c r="P126" t="s">
        <v>634</v>
      </c>
      <c r="Q126" t="s">
        <v>634</v>
      </c>
      <c r="R126" t="s">
        <v>634</v>
      </c>
      <c r="S126" t="s">
        <v>634</v>
      </c>
    </row>
    <row r="127" spans="1:19" x14ac:dyDescent="0.3">
      <c r="A127" s="140"/>
      <c r="B127" s="112"/>
      <c r="C127" s="112" t="s">
        <v>707</v>
      </c>
      <c r="D127" s="141"/>
      <c r="F127" t="s">
        <v>634</v>
      </c>
      <c r="G127" t="s">
        <v>634</v>
      </c>
      <c r="H127" t="s">
        <v>634</v>
      </c>
      <c r="I127" t="s">
        <v>634</v>
      </c>
      <c r="J127" t="s">
        <v>634</v>
      </c>
      <c r="K127" t="s">
        <v>634</v>
      </c>
      <c r="L127" t="s">
        <v>634</v>
      </c>
      <c r="M127" t="s">
        <v>634</v>
      </c>
      <c r="N127" t="s">
        <v>634</v>
      </c>
      <c r="O127" t="s">
        <v>634</v>
      </c>
      <c r="P127" t="s">
        <v>634</v>
      </c>
      <c r="Q127" t="s">
        <v>634</v>
      </c>
      <c r="R127" t="s">
        <v>634</v>
      </c>
      <c r="S127" t="s">
        <v>634</v>
      </c>
    </row>
    <row r="128" spans="1:19" x14ac:dyDescent="0.3">
      <c r="A128" s="140"/>
      <c r="B128" s="112"/>
      <c r="C128" s="112" t="s">
        <v>472</v>
      </c>
      <c r="D128" s="141"/>
      <c r="F128" t="s">
        <v>634</v>
      </c>
      <c r="G128" t="s">
        <v>634</v>
      </c>
      <c r="H128" t="s">
        <v>634</v>
      </c>
      <c r="I128" t="s">
        <v>634</v>
      </c>
      <c r="J128" t="s">
        <v>634</v>
      </c>
      <c r="K128" t="s">
        <v>634</v>
      </c>
      <c r="L128" t="s">
        <v>634</v>
      </c>
      <c r="M128" t="s">
        <v>634</v>
      </c>
      <c r="N128" t="s">
        <v>634</v>
      </c>
      <c r="O128" t="s">
        <v>634</v>
      </c>
      <c r="P128" t="s">
        <v>634</v>
      </c>
      <c r="Q128" t="s">
        <v>634</v>
      </c>
      <c r="R128" t="s">
        <v>634</v>
      </c>
      <c r="S128" t="s">
        <v>634</v>
      </c>
    </row>
    <row r="129" spans="1:17" x14ac:dyDescent="0.3">
      <c r="A129" s="140"/>
      <c r="B129" s="112"/>
      <c r="C129" s="112" t="s">
        <v>16</v>
      </c>
      <c r="D129" s="141"/>
    </row>
    <row r="130" spans="1:17" x14ac:dyDescent="0.3">
      <c r="A130" s="140" t="s">
        <v>731</v>
      </c>
      <c r="B130" s="112"/>
      <c r="C130" s="112"/>
      <c r="D130" s="141"/>
      <c r="E130" t="s">
        <v>708</v>
      </c>
    </row>
    <row r="131" spans="1:17" x14ac:dyDescent="0.3">
      <c r="A131" s="140"/>
      <c r="B131" s="112" t="s">
        <v>10</v>
      </c>
      <c r="C131" s="112"/>
      <c r="D131" s="141"/>
      <c r="E131" s="188" t="s">
        <v>710</v>
      </c>
      <c r="F131" s="5">
        <v>2</v>
      </c>
      <c r="G131" s="1">
        <v>2</v>
      </c>
      <c r="H131" s="1">
        <v>2</v>
      </c>
      <c r="I131" s="1">
        <v>3</v>
      </c>
      <c r="J131" s="1">
        <v>5</v>
      </c>
      <c r="K131" s="1">
        <v>5</v>
      </c>
      <c r="L131" s="1">
        <v>2</v>
      </c>
      <c r="M131" s="1">
        <v>3</v>
      </c>
      <c r="N131" s="1">
        <v>1</v>
      </c>
      <c r="O131" s="1">
        <v>2</v>
      </c>
      <c r="P131" s="1">
        <v>2</v>
      </c>
      <c r="Q131" s="1">
        <v>3</v>
      </c>
    </row>
    <row r="132" spans="1:17" x14ac:dyDescent="0.3">
      <c r="A132" s="140"/>
      <c r="B132" s="112"/>
      <c r="C132" s="112" t="s">
        <v>9</v>
      </c>
      <c r="D132" s="141"/>
      <c r="E132" s="188" t="s">
        <v>732</v>
      </c>
    </row>
    <row r="133" spans="1:17" x14ac:dyDescent="0.3">
      <c r="A133" s="140"/>
      <c r="B133" s="112"/>
      <c r="C133" s="112" t="s">
        <v>439</v>
      </c>
      <c r="D133" s="141"/>
      <c r="E133" s="188" t="s">
        <v>733</v>
      </c>
    </row>
    <row r="134" spans="1:17" x14ac:dyDescent="0.3">
      <c r="A134" s="140"/>
      <c r="B134" s="112"/>
      <c r="C134" s="112" t="s">
        <v>533</v>
      </c>
      <c r="D134" s="141"/>
      <c r="E134" s="188" t="s">
        <v>734</v>
      </c>
    </row>
    <row r="135" spans="1:17" x14ac:dyDescent="0.3">
      <c r="A135" s="140"/>
      <c r="B135" s="112" t="s">
        <v>708</v>
      </c>
      <c r="C135" s="112"/>
      <c r="D135" s="141"/>
      <c r="E135" s="188" t="s">
        <v>735</v>
      </c>
      <c r="F135">
        <v>4</v>
      </c>
      <c r="G135">
        <v>4</v>
      </c>
      <c r="H135">
        <v>4</v>
      </c>
      <c r="I135">
        <v>6</v>
      </c>
      <c r="J135">
        <v>8</v>
      </c>
      <c r="K135">
        <v>8</v>
      </c>
      <c r="L135">
        <v>3</v>
      </c>
      <c r="M135">
        <v>4</v>
      </c>
      <c r="N135">
        <v>2</v>
      </c>
      <c r="O135">
        <v>4</v>
      </c>
      <c r="P135">
        <v>5</v>
      </c>
      <c r="Q135">
        <v>7</v>
      </c>
    </row>
    <row r="136" spans="1:17" x14ac:dyDescent="0.3">
      <c r="A136" s="140"/>
      <c r="B136" s="112"/>
      <c r="C136" s="112" t="s">
        <v>709</v>
      </c>
      <c r="D136" s="141"/>
    </row>
    <row r="137" spans="1:17" x14ac:dyDescent="0.3">
      <c r="A137" s="140"/>
      <c r="B137" s="112"/>
      <c r="C137" s="112" t="s">
        <v>710</v>
      </c>
      <c r="D137" s="141"/>
      <c r="F137" t="s">
        <v>634</v>
      </c>
      <c r="G137" t="s">
        <v>634</v>
      </c>
      <c r="H137" t="s">
        <v>634</v>
      </c>
      <c r="I137" t="s">
        <v>634</v>
      </c>
      <c r="J137" t="s">
        <v>634</v>
      </c>
      <c r="K137" t="s">
        <v>634</v>
      </c>
      <c r="L137" t="s">
        <v>634</v>
      </c>
      <c r="M137" t="s">
        <v>634</v>
      </c>
      <c r="N137" t="s">
        <v>634</v>
      </c>
      <c r="O137" t="s">
        <v>634</v>
      </c>
      <c r="P137" t="s">
        <v>634</v>
      </c>
      <c r="Q137" t="s">
        <v>634</v>
      </c>
    </row>
    <row r="138" spans="1:17" x14ac:dyDescent="0.3">
      <c r="A138" s="140"/>
      <c r="B138" s="112"/>
      <c r="C138" s="112"/>
      <c r="D138" s="141" t="s">
        <v>702</v>
      </c>
    </row>
    <row r="139" spans="1:17" x14ac:dyDescent="0.3">
      <c r="A139" s="140"/>
      <c r="B139" s="112"/>
      <c r="C139" s="112" t="s">
        <v>711</v>
      </c>
      <c r="D139" s="141"/>
      <c r="F139" t="s">
        <v>634</v>
      </c>
      <c r="G139" t="s">
        <v>634</v>
      </c>
      <c r="H139" t="s">
        <v>634</v>
      </c>
      <c r="I139" t="s">
        <v>634</v>
      </c>
      <c r="J139" t="s">
        <v>634</v>
      </c>
      <c r="K139" t="s">
        <v>634</v>
      </c>
      <c r="L139" t="s">
        <v>634</v>
      </c>
      <c r="M139" t="s">
        <v>634</v>
      </c>
      <c r="N139" t="s">
        <v>634</v>
      </c>
      <c r="O139" t="s">
        <v>634</v>
      </c>
      <c r="P139" t="s">
        <v>634</v>
      </c>
      <c r="Q139" t="s">
        <v>634</v>
      </c>
    </row>
    <row r="140" spans="1:17" x14ac:dyDescent="0.3">
      <c r="A140" s="140"/>
      <c r="B140" s="112"/>
      <c r="C140" s="112" t="s">
        <v>712</v>
      </c>
      <c r="D140" s="141"/>
      <c r="F140" t="s">
        <v>634</v>
      </c>
      <c r="G140" t="s">
        <v>634</v>
      </c>
      <c r="H140" t="s">
        <v>634</v>
      </c>
      <c r="I140" t="s">
        <v>634</v>
      </c>
      <c r="J140" t="s">
        <v>634</v>
      </c>
      <c r="K140" t="s">
        <v>634</v>
      </c>
      <c r="L140" t="s">
        <v>634</v>
      </c>
      <c r="M140" t="s">
        <v>634</v>
      </c>
      <c r="N140" t="s">
        <v>634</v>
      </c>
      <c r="O140" t="s">
        <v>634</v>
      </c>
      <c r="P140" t="s">
        <v>634</v>
      </c>
      <c r="Q140" t="s">
        <v>634</v>
      </c>
    </row>
    <row r="141" spans="1:17" x14ac:dyDescent="0.3">
      <c r="A141" s="140"/>
      <c r="B141" s="112"/>
      <c r="C141" s="112" t="s">
        <v>713</v>
      </c>
      <c r="D141" s="141"/>
      <c r="E141" t="s">
        <v>526</v>
      </c>
      <c r="F141" t="s">
        <v>634</v>
      </c>
      <c r="G141" t="s">
        <v>634</v>
      </c>
      <c r="H141" t="s">
        <v>634</v>
      </c>
      <c r="I141" t="s">
        <v>634</v>
      </c>
      <c r="J141" t="s">
        <v>634</v>
      </c>
      <c r="K141" t="s">
        <v>634</v>
      </c>
      <c r="L141" t="s">
        <v>634</v>
      </c>
      <c r="M141" t="s">
        <v>634</v>
      </c>
      <c r="N141" t="s">
        <v>634</v>
      </c>
      <c r="O141" t="s">
        <v>634</v>
      </c>
      <c r="P141" t="s">
        <v>634</v>
      </c>
      <c r="Q141" t="s">
        <v>634</v>
      </c>
    </row>
    <row r="142" spans="1:17" x14ac:dyDescent="0.3">
      <c r="A142" s="140"/>
      <c r="B142" s="112"/>
      <c r="C142" s="112" t="s">
        <v>714</v>
      </c>
      <c r="D142" s="141"/>
      <c r="E142" t="s">
        <v>527</v>
      </c>
      <c r="F142" t="s">
        <v>634</v>
      </c>
      <c r="G142" t="s">
        <v>634</v>
      </c>
      <c r="H142" t="s">
        <v>634</v>
      </c>
      <c r="I142" t="s">
        <v>634</v>
      </c>
      <c r="J142" t="s">
        <v>634</v>
      </c>
      <c r="K142" t="s">
        <v>634</v>
      </c>
      <c r="L142" t="s">
        <v>634</v>
      </c>
      <c r="M142" t="s">
        <v>634</v>
      </c>
      <c r="N142" t="s">
        <v>634</v>
      </c>
      <c r="O142" t="s">
        <v>634</v>
      </c>
      <c r="P142" t="s">
        <v>634</v>
      </c>
      <c r="Q142" t="s">
        <v>634</v>
      </c>
    </row>
    <row r="143" spans="1:17" x14ac:dyDescent="0.3">
      <c r="A143" s="140"/>
      <c r="B143" s="112"/>
      <c r="C143" s="112" t="s">
        <v>715</v>
      </c>
      <c r="D143" s="141"/>
      <c r="E143" s="112"/>
      <c r="F143" t="s">
        <v>634</v>
      </c>
      <c r="G143" t="s">
        <v>634</v>
      </c>
      <c r="H143" t="s">
        <v>634</v>
      </c>
      <c r="I143" t="s">
        <v>634</v>
      </c>
      <c r="J143" t="s">
        <v>634</v>
      </c>
      <c r="K143" t="s">
        <v>634</v>
      </c>
      <c r="L143" t="s">
        <v>634</v>
      </c>
      <c r="M143" t="s">
        <v>634</v>
      </c>
      <c r="N143" t="s">
        <v>634</v>
      </c>
      <c r="O143" t="s">
        <v>634</v>
      </c>
      <c r="P143" t="s">
        <v>634</v>
      </c>
      <c r="Q143" t="s">
        <v>634</v>
      </c>
    </row>
    <row r="144" spans="1:17" x14ac:dyDescent="0.3">
      <c r="A144" s="140"/>
      <c r="B144" s="112"/>
      <c r="C144" s="112"/>
      <c r="D144" s="141" t="s">
        <v>716</v>
      </c>
      <c r="E144" s="112"/>
      <c r="F144" t="s">
        <v>634</v>
      </c>
      <c r="G144" t="s">
        <v>634</v>
      </c>
      <c r="H144" t="s">
        <v>634</v>
      </c>
      <c r="I144" t="s">
        <v>634</v>
      </c>
      <c r="J144" t="s">
        <v>634</v>
      </c>
      <c r="K144" t="s">
        <v>634</v>
      </c>
      <c r="L144" t="s">
        <v>634</v>
      </c>
      <c r="M144" t="s">
        <v>634</v>
      </c>
      <c r="N144" t="s">
        <v>634</v>
      </c>
      <c r="O144" t="s">
        <v>634</v>
      </c>
      <c r="P144" t="s">
        <v>634</v>
      </c>
      <c r="Q144" t="s">
        <v>634</v>
      </c>
    </row>
    <row r="145" spans="1:17" x14ac:dyDescent="0.3">
      <c r="A145" s="140"/>
      <c r="B145" s="112"/>
      <c r="C145" s="112"/>
      <c r="D145" s="141" t="s">
        <v>717</v>
      </c>
      <c r="E145" s="112"/>
      <c r="F145" t="s">
        <v>634</v>
      </c>
      <c r="G145" t="s">
        <v>634</v>
      </c>
      <c r="H145" t="s">
        <v>634</v>
      </c>
      <c r="I145" t="s">
        <v>634</v>
      </c>
      <c r="J145" t="s">
        <v>634</v>
      </c>
      <c r="K145" t="s">
        <v>634</v>
      </c>
      <c r="L145" t="s">
        <v>634</v>
      </c>
      <c r="M145" t="s">
        <v>634</v>
      </c>
      <c r="N145" t="s">
        <v>634</v>
      </c>
      <c r="O145" t="s">
        <v>634</v>
      </c>
      <c r="P145" t="s">
        <v>634</v>
      </c>
      <c r="Q145" t="s">
        <v>634</v>
      </c>
    </row>
    <row r="146" spans="1:17" x14ac:dyDescent="0.3">
      <c r="A146" s="140"/>
      <c r="B146" s="112" t="s">
        <v>526</v>
      </c>
      <c r="C146" s="112"/>
      <c r="D146" s="141"/>
      <c r="E146" s="112"/>
      <c r="F146" s="5">
        <v>2</v>
      </c>
      <c r="G146" s="1">
        <v>2</v>
      </c>
      <c r="H146" s="1">
        <v>2</v>
      </c>
      <c r="I146" s="1">
        <v>3</v>
      </c>
      <c r="J146" s="1">
        <v>5</v>
      </c>
      <c r="K146" s="1">
        <v>5</v>
      </c>
      <c r="L146" s="1">
        <v>2</v>
      </c>
      <c r="M146" s="1">
        <v>3</v>
      </c>
      <c r="N146" s="1">
        <v>1</v>
      </c>
      <c r="O146" s="1">
        <v>2</v>
      </c>
      <c r="P146" s="1">
        <v>2</v>
      </c>
      <c r="Q146" s="1">
        <v>3</v>
      </c>
    </row>
    <row r="147" spans="1:17" x14ac:dyDescent="0.3">
      <c r="A147" s="140"/>
      <c r="B147" s="112" t="s">
        <v>527</v>
      </c>
      <c r="C147" s="112"/>
      <c r="D147" s="141"/>
      <c r="E147" s="112"/>
      <c r="F147">
        <v>3</v>
      </c>
      <c r="G147">
        <v>3</v>
      </c>
      <c r="H147">
        <v>4</v>
      </c>
      <c r="I147">
        <v>4</v>
      </c>
      <c r="J147">
        <v>8</v>
      </c>
      <c r="K147">
        <v>8</v>
      </c>
      <c r="L147">
        <v>4</v>
      </c>
      <c r="M147">
        <v>8</v>
      </c>
      <c r="N147">
        <v>2</v>
      </c>
      <c r="O147">
        <v>5</v>
      </c>
      <c r="P147">
        <v>4</v>
      </c>
      <c r="Q147">
        <v>5</v>
      </c>
    </row>
    <row r="148" spans="1:17" ht="15" thickBot="1" x14ac:dyDescent="0.35">
      <c r="A148" s="119">
        <f>COUNTA(Table5[EPIC])</f>
        <v>5</v>
      </c>
      <c r="B148" s="120">
        <f>COUNTA(Table5[User Story])</f>
        <v>16</v>
      </c>
      <c r="C148" s="120">
        <f>COUNTA(Table5[Task])</f>
        <v>82</v>
      </c>
      <c r="D148" s="121">
        <f>COUNTA(Table5[Sub Task])</f>
        <v>44</v>
      </c>
      <c r="E148" s="121">
        <f>COUNTA(Table5[Web Forms])</f>
        <v>54</v>
      </c>
      <c r="F148">
        <f>SUM(Table5[PM])</f>
        <v>40</v>
      </c>
      <c r="G148">
        <f>SUM(Table5[BA])</f>
        <v>40</v>
      </c>
      <c r="H148">
        <f>SUM(Table5[Architect])</f>
        <v>40</v>
      </c>
      <c r="I148">
        <f>SUM(Table5[Tech Lead])</f>
        <v>57</v>
      </c>
      <c r="J148">
        <f>SUM(Table5[Dev1])</f>
        <v>90</v>
      </c>
      <c r="K148">
        <f>SUM(Table5[Dev2])</f>
        <v>90</v>
      </c>
      <c r="L148">
        <f>SUM(Table5[Test Lead])</f>
        <v>41</v>
      </c>
      <c r="M148">
        <f>SUM(Table5[Test Engineer])</f>
        <v>67</v>
      </c>
      <c r="N148">
        <f>SUM(Table5[DBA])</f>
        <v>26</v>
      </c>
      <c r="O148">
        <f>SUM(Table5[DB Developer])</f>
        <v>50</v>
      </c>
      <c r="P148">
        <f>SUM(Table5[UX])</f>
        <v>49</v>
      </c>
      <c r="Q148">
        <f>SUM(Table5[UI])</f>
        <v>62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A4410-70BA-410A-A6B5-D163BF23619F}">
  <dimension ref="A1:R17"/>
  <sheetViews>
    <sheetView workbookViewId="0">
      <selection activeCell="B2" sqref="B2:P16"/>
    </sheetView>
  </sheetViews>
  <sheetFormatPr defaultRowHeight="14.4" x14ac:dyDescent="0.3"/>
  <cols>
    <col min="1" max="1" width="7.109375" bestFit="1" customWidth="1"/>
    <col min="2" max="2" width="16.109375" bestFit="1" customWidth="1"/>
    <col min="3" max="3" width="20.6640625" bestFit="1" customWidth="1"/>
    <col min="4" max="4" width="18.33203125" bestFit="1" customWidth="1"/>
    <col min="5" max="5" width="5.6640625" bestFit="1" customWidth="1"/>
    <col min="6" max="6" width="5.44140625" bestFit="1" customWidth="1"/>
    <col min="7" max="7" width="10.88671875" bestFit="1" customWidth="1"/>
    <col min="8" max="8" width="11.44140625" bestFit="1" customWidth="1"/>
    <col min="9" max="10" width="7.33203125" bestFit="1" customWidth="1"/>
    <col min="11" max="11" width="11" bestFit="1" customWidth="1"/>
    <col min="12" max="12" width="14.109375" bestFit="1" customWidth="1"/>
    <col min="13" max="13" width="6.6640625" bestFit="1" customWidth="1"/>
    <col min="14" max="14" width="14.33203125" bestFit="1" customWidth="1"/>
    <col min="15" max="15" width="5.5546875" bestFit="1" customWidth="1"/>
    <col min="16" max="16" width="5" bestFit="1" customWidth="1"/>
    <col min="17" max="17" width="16.33203125" bestFit="1" customWidth="1"/>
    <col min="18" max="18" width="17.33203125" bestFit="1" customWidth="1"/>
  </cols>
  <sheetData>
    <row r="1" spans="1:18" x14ac:dyDescent="0.3">
      <c r="A1" t="s">
        <v>1</v>
      </c>
      <c r="B1" t="s">
        <v>151</v>
      </c>
      <c r="C1" t="s">
        <v>3</v>
      </c>
      <c r="D1" t="s">
        <v>152</v>
      </c>
      <c r="E1" t="s">
        <v>81</v>
      </c>
      <c r="F1" t="s">
        <v>61</v>
      </c>
      <c r="G1" t="s">
        <v>82</v>
      </c>
      <c r="H1" t="s">
        <v>83</v>
      </c>
      <c r="I1" t="s">
        <v>84</v>
      </c>
      <c r="J1" t="s">
        <v>85</v>
      </c>
      <c r="K1" t="s">
        <v>86</v>
      </c>
      <c r="L1" t="s">
        <v>87</v>
      </c>
      <c r="M1" t="s">
        <v>88</v>
      </c>
      <c r="N1" t="s">
        <v>89</v>
      </c>
      <c r="O1" t="s">
        <v>90</v>
      </c>
      <c r="P1" t="s">
        <v>91</v>
      </c>
      <c r="Q1" t="s">
        <v>92</v>
      </c>
      <c r="R1" t="s">
        <v>93</v>
      </c>
    </row>
    <row r="2" spans="1:18" x14ac:dyDescent="0.3">
      <c r="B2" t="s">
        <v>10</v>
      </c>
      <c r="C2" t="s">
        <v>634</v>
      </c>
      <c r="D2" t="s">
        <v>634</v>
      </c>
      <c r="E2" s="1">
        <v>2</v>
      </c>
      <c r="F2" s="1">
        <v>2</v>
      </c>
      <c r="G2" s="1">
        <v>2</v>
      </c>
      <c r="H2" s="1">
        <v>3</v>
      </c>
      <c r="I2" s="1">
        <v>5</v>
      </c>
      <c r="J2" s="1">
        <v>5</v>
      </c>
      <c r="K2" s="1">
        <v>2</v>
      </c>
      <c r="L2" s="1">
        <v>3</v>
      </c>
      <c r="M2" s="1">
        <v>1</v>
      </c>
      <c r="N2" s="1">
        <v>2</v>
      </c>
      <c r="O2" s="1">
        <v>2</v>
      </c>
      <c r="P2" s="1">
        <v>3</v>
      </c>
      <c r="Q2" t="s">
        <v>634</v>
      </c>
      <c r="R2" t="s">
        <v>634</v>
      </c>
    </row>
    <row r="3" spans="1:18" x14ac:dyDescent="0.3">
      <c r="C3" t="s">
        <v>9</v>
      </c>
    </row>
    <row r="4" spans="1:18" x14ac:dyDescent="0.3">
      <c r="C4" t="s">
        <v>439</v>
      </c>
    </row>
    <row r="5" spans="1:18" x14ac:dyDescent="0.3">
      <c r="C5" t="s">
        <v>533</v>
      </c>
    </row>
    <row r="6" spans="1:18" x14ac:dyDescent="0.3">
      <c r="A6" t="s">
        <v>634</v>
      </c>
      <c r="B6" t="s">
        <v>708</v>
      </c>
      <c r="D6" t="s">
        <v>634</v>
      </c>
      <c r="E6">
        <v>4</v>
      </c>
      <c r="F6">
        <v>4</v>
      </c>
      <c r="G6">
        <v>4</v>
      </c>
      <c r="H6">
        <v>6</v>
      </c>
      <c r="I6">
        <v>8</v>
      </c>
      <c r="J6">
        <v>8</v>
      </c>
      <c r="K6">
        <v>3</v>
      </c>
      <c r="L6">
        <v>4</v>
      </c>
      <c r="M6">
        <v>2</v>
      </c>
      <c r="N6">
        <v>4</v>
      </c>
      <c r="O6">
        <v>5</v>
      </c>
      <c r="P6">
        <v>7</v>
      </c>
      <c r="Q6" t="s">
        <v>634</v>
      </c>
      <c r="R6" t="s">
        <v>634</v>
      </c>
    </row>
    <row r="7" spans="1:18" x14ac:dyDescent="0.3">
      <c r="C7" t="s">
        <v>709</v>
      </c>
    </row>
    <row r="8" spans="1:18" x14ac:dyDescent="0.3">
      <c r="A8" t="s">
        <v>634</v>
      </c>
      <c r="B8" t="s">
        <v>634</v>
      </c>
      <c r="C8" t="s">
        <v>710</v>
      </c>
      <c r="E8" t="s">
        <v>634</v>
      </c>
      <c r="F8" t="s">
        <v>634</v>
      </c>
      <c r="G8" t="s">
        <v>634</v>
      </c>
      <c r="H8" t="s">
        <v>634</v>
      </c>
      <c r="I8" t="s">
        <v>634</v>
      </c>
      <c r="J8" t="s">
        <v>634</v>
      </c>
      <c r="K8" t="s">
        <v>634</v>
      </c>
      <c r="L8" t="s">
        <v>634</v>
      </c>
      <c r="M8" t="s">
        <v>634</v>
      </c>
      <c r="N8" t="s">
        <v>634</v>
      </c>
      <c r="O8" t="s">
        <v>634</v>
      </c>
      <c r="P8" t="s">
        <v>634</v>
      </c>
      <c r="Q8" t="s">
        <v>634</v>
      </c>
      <c r="R8" t="s">
        <v>634</v>
      </c>
    </row>
    <row r="9" spans="1:18" x14ac:dyDescent="0.3">
      <c r="D9" t="s">
        <v>702</v>
      </c>
    </row>
    <row r="10" spans="1:18" x14ac:dyDescent="0.3">
      <c r="A10" t="s">
        <v>634</v>
      </c>
      <c r="B10" t="s">
        <v>634</v>
      </c>
      <c r="C10" t="s">
        <v>711</v>
      </c>
      <c r="D10" t="s">
        <v>634</v>
      </c>
      <c r="E10" t="s">
        <v>634</v>
      </c>
      <c r="F10" t="s">
        <v>634</v>
      </c>
      <c r="G10" t="s">
        <v>634</v>
      </c>
      <c r="H10" t="s">
        <v>634</v>
      </c>
      <c r="I10" t="s">
        <v>634</v>
      </c>
      <c r="J10" t="s">
        <v>634</v>
      </c>
      <c r="K10" t="s">
        <v>634</v>
      </c>
      <c r="L10" t="s">
        <v>634</v>
      </c>
      <c r="M10" t="s">
        <v>634</v>
      </c>
      <c r="N10" t="s">
        <v>634</v>
      </c>
      <c r="O10" t="s">
        <v>634</v>
      </c>
      <c r="P10" t="s">
        <v>634</v>
      </c>
      <c r="Q10" t="s">
        <v>634</v>
      </c>
      <c r="R10" t="s">
        <v>634</v>
      </c>
    </row>
    <row r="11" spans="1:18" x14ac:dyDescent="0.3">
      <c r="A11" t="s">
        <v>634</v>
      </c>
      <c r="B11" t="s">
        <v>634</v>
      </c>
      <c r="C11" t="s">
        <v>712</v>
      </c>
      <c r="D11" t="s">
        <v>634</v>
      </c>
      <c r="E11" t="s">
        <v>634</v>
      </c>
      <c r="F11" t="s">
        <v>634</v>
      </c>
      <c r="G11" t="s">
        <v>634</v>
      </c>
      <c r="H11" t="s">
        <v>634</v>
      </c>
      <c r="I11" t="s">
        <v>634</v>
      </c>
      <c r="J11" t="s">
        <v>634</v>
      </c>
      <c r="K11" t="s">
        <v>634</v>
      </c>
      <c r="L11" t="s">
        <v>634</v>
      </c>
      <c r="M11" t="s">
        <v>634</v>
      </c>
      <c r="N11" t="s">
        <v>634</v>
      </c>
      <c r="O11" t="s">
        <v>634</v>
      </c>
      <c r="P11" t="s">
        <v>634</v>
      </c>
      <c r="Q11" t="s">
        <v>634</v>
      </c>
      <c r="R11" t="s">
        <v>634</v>
      </c>
    </row>
    <row r="12" spans="1:18" x14ac:dyDescent="0.3">
      <c r="A12" t="s">
        <v>634</v>
      </c>
      <c r="B12" t="s">
        <v>634</v>
      </c>
      <c r="C12" t="s">
        <v>713</v>
      </c>
      <c r="D12" t="s">
        <v>634</v>
      </c>
      <c r="E12" t="s">
        <v>634</v>
      </c>
      <c r="F12" t="s">
        <v>634</v>
      </c>
      <c r="G12" t="s">
        <v>634</v>
      </c>
      <c r="H12" t="s">
        <v>634</v>
      </c>
      <c r="I12" t="s">
        <v>634</v>
      </c>
      <c r="J12" t="s">
        <v>634</v>
      </c>
      <c r="K12" t="s">
        <v>634</v>
      </c>
      <c r="L12" t="s">
        <v>634</v>
      </c>
      <c r="M12" t="s">
        <v>634</v>
      </c>
      <c r="N12" t="s">
        <v>634</v>
      </c>
      <c r="O12" t="s">
        <v>634</v>
      </c>
      <c r="P12" t="s">
        <v>634</v>
      </c>
      <c r="Q12" t="s">
        <v>634</v>
      </c>
      <c r="R12" t="s">
        <v>634</v>
      </c>
    </row>
    <row r="13" spans="1:18" x14ac:dyDescent="0.3">
      <c r="A13" t="s">
        <v>634</v>
      </c>
      <c r="B13" t="s">
        <v>634</v>
      </c>
      <c r="C13" t="s">
        <v>714</v>
      </c>
      <c r="D13" t="s">
        <v>634</v>
      </c>
      <c r="E13" t="s">
        <v>634</v>
      </c>
      <c r="F13" t="s">
        <v>634</v>
      </c>
      <c r="G13" t="s">
        <v>634</v>
      </c>
      <c r="H13" t="s">
        <v>634</v>
      </c>
      <c r="I13" t="s">
        <v>634</v>
      </c>
      <c r="J13" t="s">
        <v>634</v>
      </c>
      <c r="K13" t="s">
        <v>634</v>
      </c>
      <c r="L13" t="s">
        <v>634</v>
      </c>
      <c r="M13" t="s">
        <v>634</v>
      </c>
      <c r="N13" t="s">
        <v>634</v>
      </c>
      <c r="O13" t="s">
        <v>634</v>
      </c>
      <c r="P13" t="s">
        <v>634</v>
      </c>
      <c r="Q13" t="s">
        <v>634</v>
      </c>
      <c r="R13" t="s">
        <v>634</v>
      </c>
    </row>
    <row r="14" spans="1:18" x14ac:dyDescent="0.3">
      <c r="A14" t="s">
        <v>634</v>
      </c>
      <c r="B14" t="s">
        <v>634</v>
      </c>
      <c r="C14" t="s">
        <v>715</v>
      </c>
      <c r="D14" t="s">
        <v>634</v>
      </c>
      <c r="E14" t="s">
        <v>634</v>
      </c>
      <c r="F14" t="s">
        <v>634</v>
      </c>
      <c r="G14" t="s">
        <v>634</v>
      </c>
      <c r="H14" t="s">
        <v>634</v>
      </c>
      <c r="I14" t="s">
        <v>634</v>
      </c>
      <c r="J14" t="s">
        <v>634</v>
      </c>
      <c r="K14" t="s">
        <v>634</v>
      </c>
      <c r="L14" t="s">
        <v>634</v>
      </c>
      <c r="M14" t="s">
        <v>634</v>
      </c>
      <c r="N14" t="s">
        <v>634</v>
      </c>
      <c r="O14" t="s">
        <v>634</v>
      </c>
      <c r="P14" t="s">
        <v>634</v>
      </c>
      <c r="Q14" t="s">
        <v>634</v>
      </c>
      <c r="R14" t="s">
        <v>634</v>
      </c>
    </row>
    <row r="15" spans="1:18" x14ac:dyDescent="0.3">
      <c r="A15" t="s">
        <v>634</v>
      </c>
      <c r="B15" t="s">
        <v>634</v>
      </c>
      <c r="C15" t="s">
        <v>634</v>
      </c>
      <c r="D15" t="s">
        <v>716</v>
      </c>
      <c r="E15" t="s">
        <v>634</v>
      </c>
      <c r="F15" t="s">
        <v>634</v>
      </c>
      <c r="G15" t="s">
        <v>634</v>
      </c>
      <c r="H15" t="s">
        <v>634</v>
      </c>
      <c r="I15" t="s">
        <v>634</v>
      </c>
      <c r="J15" t="s">
        <v>634</v>
      </c>
      <c r="K15" t="s">
        <v>634</v>
      </c>
      <c r="L15" t="s">
        <v>634</v>
      </c>
      <c r="M15" t="s">
        <v>634</v>
      </c>
      <c r="N15" t="s">
        <v>634</v>
      </c>
      <c r="O15" t="s">
        <v>634</v>
      </c>
      <c r="P15" t="s">
        <v>634</v>
      </c>
      <c r="Q15" t="s">
        <v>634</v>
      </c>
      <c r="R15" t="s">
        <v>634</v>
      </c>
    </row>
    <row r="16" spans="1:18" x14ac:dyDescent="0.3">
      <c r="A16" t="s">
        <v>634</v>
      </c>
      <c r="B16" t="s">
        <v>634</v>
      </c>
      <c r="C16" t="s">
        <v>634</v>
      </c>
      <c r="D16" t="s">
        <v>717</v>
      </c>
      <c r="E16" t="s">
        <v>634</v>
      </c>
      <c r="F16" t="s">
        <v>634</v>
      </c>
      <c r="G16" t="s">
        <v>634</v>
      </c>
      <c r="H16" t="s">
        <v>634</v>
      </c>
      <c r="I16" t="s">
        <v>634</v>
      </c>
      <c r="J16" t="s">
        <v>634</v>
      </c>
      <c r="K16" t="s">
        <v>634</v>
      </c>
      <c r="L16" t="s">
        <v>634</v>
      </c>
      <c r="M16" t="s">
        <v>634</v>
      </c>
      <c r="N16" t="s">
        <v>634</v>
      </c>
      <c r="O16" t="s">
        <v>634</v>
      </c>
      <c r="P16" t="s">
        <v>634</v>
      </c>
      <c r="Q16" t="s">
        <v>634</v>
      </c>
      <c r="R16" t="s">
        <v>634</v>
      </c>
    </row>
    <row r="17" spans="5:16" x14ac:dyDescent="0.3">
      <c r="E17">
        <f>SUM(Table57[PM])</f>
        <v>6</v>
      </c>
      <c r="F17">
        <f>SUM(Table57[BA])</f>
        <v>6</v>
      </c>
      <c r="G17">
        <f>SUM(Table57[Architect])</f>
        <v>6</v>
      </c>
      <c r="H17">
        <f>SUM(Table57[Tech Lead])</f>
        <v>9</v>
      </c>
      <c r="I17">
        <f>SUM(Table57[Dev1])</f>
        <v>13</v>
      </c>
      <c r="J17">
        <f>SUM(Table57[Dev2])</f>
        <v>13</v>
      </c>
      <c r="K17">
        <f>SUM(Table57[Test Lead])</f>
        <v>5</v>
      </c>
      <c r="L17">
        <f>SUM(Table57[Test Engineer])</f>
        <v>7</v>
      </c>
      <c r="M17">
        <f>SUM(Table57[DBA])</f>
        <v>3</v>
      </c>
      <c r="N17">
        <f>SUM(Table57[DB Developer])</f>
        <v>6</v>
      </c>
      <c r="O17">
        <f>SUM(Table57[UX])</f>
        <v>7</v>
      </c>
      <c r="P17">
        <f>SUM(Table57[UI])</f>
        <v>10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0EFF-CFEF-4613-8689-D79730DAEE73}">
  <dimension ref="A1:B17"/>
  <sheetViews>
    <sheetView topLeftCell="A8" workbookViewId="0">
      <selection activeCell="B2" sqref="B2"/>
    </sheetView>
  </sheetViews>
  <sheetFormatPr defaultRowHeight="14.4" x14ac:dyDescent="0.3"/>
  <cols>
    <col min="1" max="1" width="21.88671875" bestFit="1" customWidth="1"/>
    <col min="2" max="2" width="101" customWidth="1"/>
  </cols>
  <sheetData>
    <row r="1" spans="1:2" x14ac:dyDescent="0.3">
      <c r="A1" s="56" t="s">
        <v>736</v>
      </c>
      <c r="B1" s="53"/>
    </row>
    <row r="2" spans="1:2" ht="144" x14ac:dyDescent="0.3">
      <c r="A2" s="56" t="s">
        <v>60</v>
      </c>
      <c r="B2" s="53" t="s">
        <v>737</v>
      </c>
    </row>
    <row r="3" spans="1:2" ht="100.95" customHeight="1" x14ac:dyDescent="0.3">
      <c r="A3" s="56" t="s">
        <v>90</v>
      </c>
      <c r="B3" s="53" t="s">
        <v>738</v>
      </c>
    </row>
    <row r="4" spans="1:2" ht="129.6" x14ac:dyDescent="0.3">
      <c r="A4" s="56" t="s">
        <v>91</v>
      </c>
      <c r="B4" s="53" t="s">
        <v>739</v>
      </c>
    </row>
    <row r="5" spans="1:2" ht="57.6" x14ac:dyDescent="0.3">
      <c r="A5" s="56" t="s">
        <v>61</v>
      </c>
      <c r="B5" s="53" t="s">
        <v>740</v>
      </c>
    </row>
    <row r="6" spans="1:2" ht="201.6" x14ac:dyDescent="0.3">
      <c r="A6" s="56" t="s">
        <v>741</v>
      </c>
      <c r="B6" s="53" t="s">
        <v>742</v>
      </c>
    </row>
    <row r="7" spans="1:2" ht="72" x14ac:dyDescent="0.3">
      <c r="A7" s="56" t="s">
        <v>743</v>
      </c>
      <c r="B7" s="53" t="s">
        <v>744</v>
      </c>
    </row>
    <row r="8" spans="1:2" ht="86.4" x14ac:dyDescent="0.3">
      <c r="A8" s="56" t="s">
        <v>745</v>
      </c>
      <c r="B8" s="53" t="s">
        <v>746</v>
      </c>
    </row>
    <row r="9" spans="1:2" ht="86.4" x14ac:dyDescent="0.3">
      <c r="A9" s="56" t="s">
        <v>747</v>
      </c>
      <c r="B9" s="53" t="s">
        <v>748</v>
      </c>
    </row>
    <row r="10" spans="1:2" ht="86.4" x14ac:dyDescent="0.3">
      <c r="A10" s="56" t="s">
        <v>749</v>
      </c>
      <c r="B10" s="53" t="s">
        <v>750</v>
      </c>
    </row>
    <row r="11" spans="1:2" ht="100.8" x14ac:dyDescent="0.3">
      <c r="A11" s="56" t="s">
        <v>86</v>
      </c>
      <c r="B11" s="53" t="s">
        <v>751</v>
      </c>
    </row>
    <row r="12" spans="1:2" ht="43.2" x14ac:dyDescent="0.3">
      <c r="A12" s="56" t="s">
        <v>752</v>
      </c>
      <c r="B12" s="53" t="s">
        <v>753</v>
      </c>
    </row>
    <row r="13" spans="1:2" ht="115.95" customHeight="1" x14ac:dyDescent="0.3">
      <c r="A13" s="56" t="s">
        <v>754</v>
      </c>
      <c r="B13" s="53" t="s">
        <v>755</v>
      </c>
    </row>
    <row r="14" spans="1:2" ht="57.6" x14ac:dyDescent="0.3">
      <c r="A14" s="56" t="s">
        <v>139</v>
      </c>
      <c r="B14" s="53" t="s">
        <v>756</v>
      </c>
    </row>
    <row r="15" spans="1:2" ht="57.6" x14ac:dyDescent="0.3">
      <c r="A15" s="56" t="s">
        <v>757</v>
      </c>
      <c r="B15" s="53" t="s">
        <v>758</v>
      </c>
    </row>
    <row r="16" spans="1:2" ht="28.8" x14ac:dyDescent="0.3">
      <c r="A16" s="56" t="s">
        <v>741</v>
      </c>
      <c r="B16" s="56"/>
    </row>
    <row r="17" spans="1:2" ht="15" thickBot="1" x14ac:dyDescent="0.35">
      <c r="A17" s="57"/>
      <c r="B17" s="5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9109-6379-4CD1-B8CE-386ED8CCB831}">
  <dimension ref="A1:XFB105"/>
  <sheetViews>
    <sheetView workbookViewId="0">
      <selection activeCell="E31" sqref="E31"/>
    </sheetView>
  </sheetViews>
  <sheetFormatPr defaultColWidth="17.44140625" defaultRowHeight="13.8" x14ac:dyDescent="0.3"/>
  <cols>
    <col min="1" max="1" width="10.33203125" style="63" bestFit="1" customWidth="1"/>
    <col min="2" max="2" width="20.33203125" style="63" customWidth="1"/>
    <col min="3" max="3" width="10.109375" style="63" customWidth="1"/>
    <col min="4" max="4" width="6.88671875" style="64" customWidth="1"/>
    <col min="5" max="5" width="9.109375" style="64" customWidth="1"/>
    <col min="6" max="6" width="14" style="63" bestFit="1" customWidth="1"/>
    <col min="7" max="7" width="13.6640625" style="63" customWidth="1"/>
    <col min="8" max="8" width="10.44140625" style="63" customWidth="1"/>
    <col min="9" max="9" width="12.44140625" style="63" customWidth="1"/>
    <col min="10" max="13" width="11.6640625" style="63" customWidth="1"/>
    <col min="14" max="14" width="9.6640625" style="63" customWidth="1"/>
    <col min="15" max="15" width="12.88671875" style="63" customWidth="1"/>
    <col min="16" max="16" width="12.6640625" style="63" customWidth="1"/>
    <col min="17" max="17" width="12.44140625" style="63" customWidth="1"/>
    <col min="18" max="18" width="12.6640625" style="63" customWidth="1"/>
    <col min="19" max="19" width="10" style="63" customWidth="1"/>
    <col min="20" max="20" width="12.33203125" style="63" customWidth="1"/>
    <col min="21" max="21" width="14.33203125" style="63" bestFit="1" customWidth="1"/>
    <col min="22" max="22" width="13.44140625" style="63" bestFit="1" customWidth="1"/>
    <col min="23" max="24" width="12.5546875" style="63" bestFit="1" customWidth="1"/>
    <col min="25" max="16384" width="17.44140625" style="63"/>
  </cols>
  <sheetData>
    <row r="1" spans="1:25" x14ac:dyDescent="0.3">
      <c r="A1" s="62"/>
    </row>
    <row r="2" spans="1:25" s="66" customFormat="1" ht="36" x14ac:dyDescent="0.3">
      <c r="A2" s="65" t="s">
        <v>759</v>
      </c>
      <c r="B2" s="65" t="s">
        <v>108</v>
      </c>
      <c r="C2" s="65" t="s">
        <v>760</v>
      </c>
      <c r="D2" s="65" t="s">
        <v>761</v>
      </c>
      <c r="E2" s="65" t="s">
        <v>762</v>
      </c>
      <c r="F2" s="65" t="s">
        <v>763</v>
      </c>
      <c r="G2" s="65" t="s">
        <v>764</v>
      </c>
      <c r="H2" s="65" t="s">
        <v>765</v>
      </c>
      <c r="I2" s="65" t="s">
        <v>766</v>
      </c>
      <c r="J2" s="65" t="s">
        <v>767</v>
      </c>
      <c r="K2" s="65" t="s">
        <v>768</v>
      </c>
      <c r="L2" s="65" t="s">
        <v>769</v>
      </c>
      <c r="M2" s="65" t="s">
        <v>770</v>
      </c>
      <c r="N2" s="65" t="s">
        <v>771</v>
      </c>
      <c r="O2" s="65" t="s">
        <v>433</v>
      </c>
      <c r="P2" s="65" t="s">
        <v>772</v>
      </c>
      <c r="Q2" s="65" t="s">
        <v>773</v>
      </c>
      <c r="R2" s="65" t="s">
        <v>774</v>
      </c>
      <c r="S2" s="65" t="s">
        <v>775</v>
      </c>
      <c r="T2" s="65" t="s">
        <v>776</v>
      </c>
      <c r="U2" s="65" t="s">
        <v>777</v>
      </c>
      <c r="V2" s="65" t="s">
        <v>778</v>
      </c>
      <c r="W2" s="65" t="s">
        <v>779</v>
      </c>
      <c r="X2" s="65" t="s">
        <v>780</v>
      </c>
    </row>
    <row r="3" spans="1:25" s="66" customFormat="1" ht="12" x14ac:dyDescent="0.3">
      <c r="A3" s="67">
        <v>0.66666666666666663</v>
      </c>
      <c r="B3" s="68" t="s">
        <v>60</v>
      </c>
      <c r="C3" s="69" t="s">
        <v>781</v>
      </c>
      <c r="D3" s="70">
        <v>9</v>
      </c>
      <c r="E3" s="70">
        <f>D3*A3*21.75*8</f>
        <v>1044</v>
      </c>
      <c r="F3" s="71">
        <f>3200000/12</f>
        <v>266666.66666666669</v>
      </c>
      <c r="G3" s="72">
        <f t="shared" ref="G3:G24" si="0">((F3/21.75*10)/12)*1.4</f>
        <v>14303.959131545338</v>
      </c>
      <c r="H3" s="72">
        <f t="shared" ref="H3:H24" si="1">((F3/30*10)/3)*1.35*0</f>
        <v>0</v>
      </c>
      <c r="I3" s="71">
        <f t="shared" ref="I3:I24" si="2">F3*4.81%</f>
        <v>12826.666666666666</v>
      </c>
      <c r="J3" s="72">
        <f t="shared" ref="J3:J24" si="3">(F3*55%)*1.36%</f>
        <v>1994.666666666667</v>
      </c>
      <c r="K3" s="71">
        <f t="shared" ref="K3:K24" si="4">3000/D3</f>
        <v>333.33333333333331</v>
      </c>
      <c r="L3" s="71">
        <f>50</f>
        <v>50</v>
      </c>
      <c r="M3" s="71">
        <f t="shared" ref="M3:M24" si="5">3500/D3</f>
        <v>388.88888888888891</v>
      </c>
      <c r="N3" s="71">
        <f t="shared" ref="N3:N24" si="6">10000*0</f>
        <v>0</v>
      </c>
      <c r="O3" s="71">
        <f t="shared" ref="O3:O24" si="7">SUM(F3:N3)</f>
        <v>296564.18135376758</v>
      </c>
      <c r="P3" s="71">
        <f t="shared" ref="P3:P24" si="8">80000/36</f>
        <v>2222.2222222222222</v>
      </c>
      <c r="Q3" s="73">
        <f t="shared" ref="Q3:Q24" si="9">O3+P3</f>
        <v>298786.40357598983</v>
      </c>
      <c r="R3" s="74">
        <v>0.43</v>
      </c>
      <c r="S3" s="73">
        <f t="shared" ref="S3:S24" si="10">R3*O3</f>
        <v>127522.59798212006</v>
      </c>
      <c r="T3" s="75">
        <f t="shared" ref="T3:T24" si="11">S3+Q3</f>
        <v>426309.00155810989</v>
      </c>
      <c r="U3" s="75">
        <f t="shared" ref="U3:U24" si="12">Q3*A3*D3</f>
        <v>1792718.4214559388</v>
      </c>
      <c r="V3" s="75">
        <f t="shared" ref="V3:V24" si="13">T3*A3*D3</f>
        <v>2557854.0093486593</v>
      </c>
      <c r="W3" s="75">
        <f t="shared" ref="W3:W24" si="14">V3-U3</f>
        <v>765135.58789272048</v>
      </c>
      <c r="X3" s="76">
        <f t="shared" ref="X3:X25" si="15">W3/V3</f>
        <v>0.29913184454477809</v>
      </c>
      <c r="Y3" s="77"/>
    </row>
    <row r="4" spans="1:25" s="66" customFormat="1" ht="12" x14ac:dyDescent="0.3">
      <c r="A4" s="67">
        <v>1</v>
      </c>
      <c r="B4" s="68" t="s">
        <v>131</v>
      </c>
      <c r="C4" s="69" t="s">
        <v>782</v>
      </c>
      <c r="D4" s="70">
        <v>9</v>
      </c>
      <c r="E4" s="70">
        <f t="shared" ref="E4:E24" si="16">D4*A4*21.75*8</f>
        <v>1566</v>
      </c>
      <c r="F4" s="71">
        <f>2400000/12</f>
        <v>200000</v>
      </c>
      <c r="G4" s="72">
        <f t="shared" si="0"/>
        <v>10727.969348659004</v>
      </c>
      <c r="H4" s="72">
        <f t="shared" si="1"/>
        <v>0</v>
      </c>
      <c r="I4" s="71">
        <f t="shared" si="2"/>
        <v>9620</v>
      </c>
      <c r="J4" s="72">
        <f t="shared" si="3"/>
        <v>1496.0000000000002</v>
      </c>
      <c r="K4" s="71">
        <f t="shared" si="4"/>
        <v>333.33333333333331</v>
      </c>
      <c r="L4" s="71">
        <f>50</f>
        <v>50</v>
      </c>
      <c r="M4" s="71">
        <f t="shared" si="5"/>
        <v>388.88888888888891</v>
      </c>
      <c r="N4" s="71">
        <f t="shared" si="6"/>
        <v>0</v>
      </c>
      <c r="O4" s="71">
        <f t="shared" si="7"/>
        <v>222616.19157088123</v>
      </c>
      <c r="P4" s="71">
        <f t="shared" si="8"/>
        <v>2222.2222222222222</v>
      </c>
      <c r="Q4" s="73">
        <f t="shared" si="9"/>
        <v>224838.41379310345</v>
      </c>
      <c r="R4" s="74">
        <v>0.43</v>
      </c>
      <c r="S4" s="73">
        <f t="shared" si="10"/>
        <v>95724.962375478921</v>
      </c>
      <c r="T4" s="75">
        <f t="shared" si="11"/>
        <v>320563.37616858236</v>
      </c>
      <c r="U4" s="75">
        <f t="shared" si="12"/>
        <v>2023545.7241379311</v>
      </c>
      <c r="V4" s="75">
        <f t="shared" si="13"/>
        <v>2885070.3855172414</v>
      </c>
      <c r="W4" s="75">
        <f t="shared" si="14"/>
        <v>861524.6613793103</v>
      </c>
      <c r="X4" s="76">
        <f t="shared" si="15"/>
        <v>0.29861478101334238</v>
      </c>
      <c r="Y4" s="77"/>
    </row>
    <row r="5" spans="1:25" s="66" customFormat="1" ht="12" x14ac:dyDescent="0.3">
      <c r="A5" s="67">
        <v>1</v>
      </c>
      <c r="B5" s="68" t="s">
        <v>132</v>
      </c>
      <c r="C5" s="69" t="s">
        <v>781</v>
      </c>
      <c r="D5" s="70">
        <v>2</v>
      </c>
      <c r="E5" s="70">
        <f t="shared" si="16"/>
        <v>348</v>
      </c>
      <c r="F5" s="71">
        <f>4000000/12</f>
        <v>333333.33333333331</v>
      </c>
      <c r="G5" s="72">
        <f t="shared" si="0"/>
        <v>17879.948914431669</v>
      </c>
      <c r="H5" s="72"/>
      <c r="I5" s="71">
        <f t="shared" si="2"/>
        <v>16033.333333333332</v>
      </c>
      <c r="J5" s="72">
        <f t="shared" si="3"/>
        <v>2493.3333333333335</v>
      </c>
      <c r="K5" s="71">
        <f t="shared" si="4"/>
        <v>1500</v>
      </c>
      <c r="L5" s="71">
        <f>50</f>
        <v>50</v>
      </c>
      <c r="M5" s="71">
        <f t="shared" si="5"/>
        <v>1750</v>
      </c>
      <c r="N5" s="71">
        <f t="shared" si="6"/>
        <v>0</v>
      </c>
      <c r="O5" s="71">
        <f t="shared" si="7"/>
        <v>373039.94891443162</v>
      </c>
      <c r="P5" s="71">
        <f t="shared" si="8"/>
        <v>2222.2222222222222</v>
      </c>
      <c r="Q5" s="73">
        <f t="shared" si="9"/>
        <v>375262.17113665387</v>
      </c>
      <c r="R5" s="74">
        <v>0.43</v>
      </c>
      <c r="S5" s="73">
        <f t="shared" si="10"/>
        <v>160407.17803320559</v>
      </c>
      <c r="T5" s="75">
        <f t="shared" si="11"/>
        <v>535669.34916985943</v>
      </c>
      <c r="U5" s="75">
        <f t="shared" si="12"/>
        <v>750524.34227330773</v>
      </c>
      <c r="V5" s="75">
        <f t="shared" si="13"/>
        <v>1071338.6983397189</v>
      </c>
      <c r="W5" s="75">
        <f t="shared" si="14"/>
        <v>320814.35606641113</v>
      </c>
      <c r="X5" s="76">
        <f t="shared" si="15"/>
        <v>0.29945185081392595</v>
      </c>
      <c r="Y5" s="77"/>
    </row>
    <row r="6" spans="1:25" s="66" customFormat="1" ht="12" x14ac:dyDescent="0.3">
      <c r="A6" s="67">
        <v>1</v>
      </c>
      <c r="B6" s="68" t="s">
        <v>133</v>
      </c>
      <c r="C6" s="69" t="s">
        <v>781</v>
      </c>
      <c r="D6" s="70">
        <v>2</v>
      </c>
      <c r="E6" s="70">
        <f>D6*A6*21.75*8</f>
        <v>348</v>
      </c>
      <c r="F6" s="71">
        <f>150000</f>
        <v>150000</v>
      </c>
      <c r="G6" s="72">
        <f t="shared" si="0"/>
        <v>8045.9770114942512</v>
      </c>
      <c r="H6" s="72"/>
      <c r="I6" s="71">
        <f t="shared" si="2"/>
        <v>7214.9999999999991</v>
      </c>
      <c r="J6" s="72">
        <f t="shared" si="3"/>
        <v>1122</v>
      </c>
      <c r="K6" s="71">
        <f t="shared" si="4"/>
        <v>1500</v>
      </c>
      <c r="L6" s="71">
        <f>50</f>
        <v>50</v>
      </c>
      <c r="M6" s="71">
        <f t="shared" si="5"/>
        <v>1750</v>
      </c>
      <c r="N6" s="71">
        <f t="shared" si="6"/>
        <v>0</v>
      </c>
      <c r="O6" s="71">
        <f t="shared" si="7"/>
        <v>169682.97701149425</v>
      </c>
      <c r="P6" s="71">
        <f t="shared" si="8"/>
        <v>2222.2222222222222</v>
      </c>
      <c r="Q6" s="73">
        <f t="shared" si="9"/>
        <v>171905.19923371647</v>
      </c>
      <c r="R6" s="74">
        <v>0.43</v>
      </c>
      <c r="S6" s="73">
        <f t="shared" si="10"/>
        <v>72963.68011494253</v>
      </c>
      <c r="T6" s="75">
        <f t="shared" si="11"/>
        <v>244868.87934865901</v>
      </c>
      <c r="U6" s="75">
        <f t="shared" si="12"/>
        <v>343810.39846743294</v>
      </c>
      <c r="V6" s="75">
        <f t="shared" si="13"/>
        <v>489737.75869731803</v>
      </c>
      <c r="W6" s="75">
        <f t="shared" si="14"/>
        <v>145927.36022988509</v>
      </c>
      <c r="X6" s="76">
        <f t="shared" si="15"/>
        <v>0.29797040893486704</v>
      </c>
      <c r="Y6" s="77"/>
    </row>
    <row r="7" spans="1:25" s="66" customFormat="1" ht="12" x14ac:dyDescent="0.3">
      <c r="A7" s="113">
        <v>0.66666666666666663</v>
      </c>
      <c r="B7" s="68" t="s">
        <v>64</v>
      </c>
      <c r="C7" s="78" t="s">
        <v>783</v>
      </c>
      <c r="D7" s="70">
        <v>9</v>
      </c>
      <c r="E7" s="70">
        <f t="shared" si="16"/>
        <v>1044</v>
      </c>
      <c r="F7" s="71">
        <f>4500000/12</f>
        <v>375000</v>
      </c>
      <c r="G7" s="72">
        <f t="shared" si="0"/>
        <v>20114.942528735632</v>
      </c>
      <c r="H7" s="72">
        <f t="shared" si="1"/>
        <v>0</v>
      </c>
      <c r="I7" s="71">
        <f t="shared" si="2"/>
        <v>18037.5</v>
      </c>
      <c r="J7" s="72">
        <f t="shared" si="3"/>
        <v>2805.0000000000005</v>
      </c>
      <c r="K7" s="71">
        <f t="shared" si="4"/>
        <v>333.33333333333331</v>
      </c>
      <c r="L7" s="71">
        <f>50</f>
        <v>50</v>
      </c>
      <c r="M7" s="71">
        <f t="shared" si="5"/>
        <v>388.88888888888891</v>
      </c>
      <c r="N7" s="71">
        <f t="shared" si="6"/>
        <v>0</v>
      </c>
      <c r="O7" s="71">
        <f t="shared" si="7"/>
        <v>416729.6647509578</v>
      </c>
      <c r="P7" s="71">
        <f t="shared" si="8"/>
        <v>2222.2222222222222</v>
      </c>
      <c r="Q7" s="73">
        <f t="shared" si="9"/>
        <v>418951.88697318005</v>
      </c>
      <c r="R7" s="74">
        <v>0.43</v>
      </c>
      <c r="S7" s="73">
        <f t="shared" si="10"/>
        <v>179193.75584291187</v>
      </c>
      <c r="T7" s="75">
        <f t="shared" si="11"/>
        <v>598145.64281609189</v>
      </c>
      <c r="U7" s="75">
        <f t="shared" si="12"/>
        <v>2513711.3218390802</v>
      </c>
      <c r="V7" s="75">
        <f t="shared" si="13"/>
        <v>3588873.8568965513</v>
      </c>
      <c r="W7" s="75">
        <f t="shared" si="14"/>
        <v>1075162.5350574711</v>
      </c>
      <c r="X7" s="76">
        <f t="shared" si="15"/>
        <v>0.29958214691535828</v>
      </c>
      <c r="Y7" s="77"/>
    </row>
    <row r="8" spans="1:25" s="66" customFormat="1" ht="12" x14ac:dyDescent="0.3">
      <c r="A8" s="113">
        <v>1</v>
      </c>
      <c r="B8" s="68" t="s">
        <v>134</v>
      </c>
      <c r="C8" s="78" t="s">
        <v>784</v>
      </c>
      <c r="D8" s="70">
        <v>8</v>
      </c>
      <c r="E8" s="70">
        <f t="shared" si="16"/>
        <v>1392</v>
      </c>
      <c r="F8" s="71">
        <f>(3200000/12)</f>
        <v>266666.66666666669</v>
      </c>
      <c r="G8" s="72">
        <f t="shared" si="0"/>
        <v>14303.959131545338</v>
      </c>
      <c r="H8" s="72">
        <f t="shared" si="1"/>
        <v>0</v>
      </c>
      <c r="I8" s="71">
        <f t="shared" si="2"/>
        <v>12826.666666666666</v>
      </c>
      <c r="J8" s="72">
        <f t="shared" si="3"/>
        <v>1994.666666666667</v>
      </c>
      <c r="K8" s="71">
        <f t="shared" si="4"/>
        <v>375</v>
      </c>
      <c r="L8" s="71">
        <f>50</f>
        <v>50</v>
      </c>
      <c r="M8" s="71">
        <f t="shared" si="5"/>
        <v>437.5</v>
      </c>
      <c r="N8" s="71">
        <f t="shared" si="6"/>
        <v>0</v>
      </c>
      <c r="O8" s="71">
        <f t="shared" si="7"/>
        <v>296654.45913154539</v>
      </c>
      <c r="P8" s="71">
        <f t="shared" si="8"/>
        <v>2222.2222222222222</v>
      </c>
      <c r="Q8" s="73">
        <f t="shared" si="9"/>
        <v>298876.68135376764</v>
      </c>
      <c r="R8" s="74">
        <v>0.43</v>
      </c>
      <c r="S8" s="73">
        <f t="shared" si="10"/>
        <v>127561.41742656451</v>
      </c>
      <c r="T8" s="75">
        <f t="shared" si="11"/>
        <v>426438.09878033213</v>
      </c>
      <c r="U8" s="75">
        <f t="shared" si="12"/>
        <v>2391013.4508301411</v>
      </c>
      <c r="V8" s="75">
        <f t="shared" si="13"/>
        <v>3411504.7902426571</v>
      </c>
      <c r="W8" s="75">
        <f t="shared" si="14"/>
        <v>1020491.339412516</v>
      </c>
      <c r="X8" s="76">
        <f t="shared" si="15"/>
        <v>0.29913231906672172</v>
      </c>
      <c r="Y8" s="77"/>
    </row>
    <row r="9" spans="1:25" s="66" customFormat="1" ht="12" x14ac:dyDescent="0.3">
      <c r="A9" s="113">
        <v>1</v>
      </c>
      <c r="B9" s="68" t="s">
        <v>135</v>
      </c>
      <c r="C9" s="78" t="s">
        <v>781</v>
      </c>
      <c r="D9" s="70">
        <v>8</v>
      </c>
      <c r="E9" s="70">
        <f t="shared" si="16"/>
        <v>1392</v>
      </c>
      <c r="F9" s="71">
        <f>3200000/12</f>
        <v>266666.66666666669</v>
      </c>
      <c r="G9" s="72">
        <f t="shared" si="0"/>
        <v>14303.959131545338</v>
      </c>
      <c r="H9" s="72">
        <f t="shared" si="1"/>
        <v>0</v>
      </c>
      <c r="I9" s="71">
        <f t="shared" si="2"/>
        <v>12826.666666666666</v>
      </c>
      <c r="J9" s="72">
        <f t="shared" si="3"/>
        <v>1994.666666666667</v>
      </c>
      <c r="K9" s="71">
        <f t="shared" si="4"/>
        <v>375</v>
      </c>
      <c r="L9" s="71">
        <f>50</f>
        <v>50</v>
      </c>
      <c r="M9" s="71">
        <f t="shared" si="5"/>
        <v>437.5</v>
      </c>
      <c r="N9" s="71">
        <f t="shared" si="6"/>
        <v>0</v>
      </c>
      <c r="O9" s="71">
        <f t="shared" si="7"/>
        <v>296654.45913154539</v>
      </c>
      <c r="P9" s="71">
        <f t="shared" si="8"/>
        <v>2222.2222222222222</v>
      </c>
      <c r="Q9" s="73">
        <f t="shared" si="9"/>
        <v>298876.68135376764</v>
      </c>
      <c r="R9" s="74">
        <v>0.43</v>
      </c>
      <c r="S9" s="73">
        <f t="shared" si="10"/>
        <v>127561.41742656451</v>
      </c>
      <c r="T9" s="75">
        <f t="shared" si="11"/>
        <v>426438.09878033213</v>
      </c>
      <c r="U9" s="75">
        <f t="shared" si="12"/>
        <v>2391013.4508301411</v>
      </c>
      <c r="V9" s="75">
        <f t="shared" si="13"/>
        <v>3411504.7902426571</v>
      </c>
      <c r="W9" s="75">
        <f t="shared" si="14"/>
        <v>1020491.339412516</v>
      </c>
      <c r="X9" s="76">
        <f t="shared" si="15"/>
        <v>0.29913231906672172</v>
      </c>
      <c r="Y9" s="77"/>
    </row>
    <row r="10" spans="1:25" s="66" customFormat="1" ht="12" x14ac:dyDescent="0.3">
      <c r="A10" s="67">
        <v>2</v>
      </c>
      <c r="B10" s="68" t="s">
        <v>136</v>
      </c>
      <c r="C10" s="69" t="s">
        <v>785</v>
      </c>
      <c r="D10" s="70">
        <v>8.5</v>
      </c>
      <c r="E10" s="70">
        <f t="shared" si="16"/>
        <v>2958</v>
      </c>
      <c r="F10" s="71">
        <f>2200000/12</f>
        <v>183333.33333333334</v>
      </c>
      <c r="G10" s="72">
        <f t="shared" si="0"/>
        <v>9833.971902937421</v>
      </c>
      <c r="H10" s="72">
        <f t="shared" si="1"/>
        <v>0</v>
      </c>
      <c r="I10" s="71">
        <f t="shared" si="2"/>
        <v>8818.3333333333339</v>
      </c>
      <c r="J10" s="72">
        <f t="shared" si="3"/>
        <v>1371.3333333333335</v>
      </c>
      <c r="K10" s="71">
        <f t="shared" si="4"/>
        <v>352.94117647058823</v>
      </c>
      <c r="L10" s="71">
        <f>50</f>
        <v>50</v>
      </c>
      <c r="M10" s="71">
        <f t="shared" si="5"/>
        <v>411.76470588235293</v>
      </c>
      <c r="N10" s="71">
        <f t="shared" si="6"/>
        <v>0</v>
      </c>
      <c r="O10" s="71">
        <f t="shared" si="7"/>
        <v>204171.67778529041</v>
      </c>
      <c r="P10" s="71">
        <f t="shared" si="8"/>
        <v>2222.2222222222222</v>
      </c>
      <c r="Q10" s="73">
        <f t="shared" si="9"/>
        <v>206393.90000751262</v>
      </c>
      <c r="R10" s="74">
        <v>0.43</v>
      </c>
      <c r="S10" s="73">
        <f t="shared" si="10"/>
        <v>87793.821447674869</v>
      </c>
      <c r="T10" s="75">
        <f t="shared" si="11"/>
        <v>294187.72145518748</v>
      </c>
      <c r="U10" s="75">
        <f t="shared" si="12"/>
        <v>3508696.3001277144</v>
      </c>
      <c r="V10" s="75">
        <f t="shared" si="13"/>
        <v>5001191.2647381872</v>
      </c>
      <c r="W10" s="75">
        <f t="shared" si="14"/>
        <v>1492494.9646104728</v>
      </c>
      <c r="X10" s="76">
        <f t="shared" si="15"/>
        <v>0.29842789159726429</v>
      </c>
      <c r="Y10" s="77"/>
    </row>
    <row r="11" spans="1:25" s="66" customFormat="1" ht="12" x14ac:dyDescent="0.3">
      <c r="A11" s="67">
        <v>1</v>
      </c>
      <c r="B11" s="68" t="s">
        <v>137</v>
      </c>
      <c r="C11" s="69" t="s">
        <v>786</v>
      </c>
      <c r="D11" s="70">
        <v>9</v>
      </c>
      <c r="E11" s="70">
        <f t="shared" si="16"/>
        <v>1566</v>
      </c>
      <c r="F11" s="71">
        <f>1800000/12</f>
        <v>150000</v>
      </c>
      <c r="G11" s="72">
        <f t="shared" si="0"/>
        <v>8045.9770114942512</v>
      </c>
      <c r="H11" s="72">
        <f t="shared" si="1"/>
        <v>0</v>
      </c>
      <c r="I11" s="71">
        <f t="shared" si="2"/>
        <v>7214.9999999999991</v>
      </c>
      <c r="J11" s="72">
        <f t="shared" si="3"/>
        <v>1122</v>
      </c>
      <c r="K11" s="71">
        <f t="shared" si="4"/>
        <v>333.33333333333331</v>
      </c>
      <c r="L11" s="71">
        <f>50</f>
        <v>50</v>
      </c>
      <c r="M11" s="71">
        <f t="shared" si="5"/>
        <v>388.88888888888891</v>
      </c>
      <c r="N11" s="71">
        <f t="shared" si="6"/>
        <v>0</v>
      </c>
      <c r="O11" s="71">
        <f t="shared" si="7"/>
        <v>167155.19923371647</v>
      </c>
      <c r="P11" s="71">
        <f t="shared" si="8"/>
        <v>2222.2222222222222</v>
      </c>
      <c r="Q11" s="73">
        <f t="shared" si="9"/>
        <v>169377.42145593869</v>
      </c>
      <c r="R11" s="74">
        <v>0.43</v>
      </c>
      <c r="S11" s="73">
        <f t="shared" si="10"/>
        <v>71876.735670498078</v>
      </c>
      <c r="T11" s="75">
        <f t="shared" si="11"/>
        <v>241254.15712643677</v>
      </c>
      <c r="U11" s="75">
        <f t="shared" si="12"/>
        <v>1524396.7931034481</v>
      </c>
      <c r="V11" s="75">
        <f t="shared" si="13"/>
        <v>2171287.4141379311</v>
      </c>
      <c r="W11" s="75">
        <f t="shared" si="14"/>
        <v>646890.62103448296</v>
      </c>
      <c r="X11" s="76">
        <f t="shared" si="15"/>
        <v>0.29792952182303267</v>
      </c>
      <c r="Y11" s="77"/>
    </row>
    <row r="12" spans="1:25" s="66" customFormat="1" ht="12" x14ac:dyDescent="0.3">
      <c r="A12" s="67">
        <v>0.25</v>
      </c>
      <c r="B12" s="68" t="s">
        <v>138</v>
      </c>
      <c r="C12" s="69" t="s">
        <v>787</v>
      </c>
      <c r="D12" s="70">
        <v>7</v>
      </c>
      <c r="E12" s="70">
        <f t="shared" si="16"/>
        <v>304.5</v>
      </c>
      <c r="F12" s="71">
        <f>3600000/12</f>
        <v>300000</v>
      </c>
      <c r="G12" s="72">
        <f t="shared" si="0"/>
        <v>16091.954022988502</v>
      </c>
      <c r="H12" s="72">
        <f t="shared" si="1"/>
        <v>0</v>
      </c>
      <c r="I12" s="71">
        <f t="shared" si="2"/>
        <v>14429.999999999998</v>
      </c>
      <c r="J12" s="72">
        <f t="shared" si="3"/>
        <v>2244</v>
      </c>
      <c r="K12" s="71">
        <f t="shared" si="4"/>
        <v>428.57142857142856</v>
      </c>
      <c r="L12" s="71">
        <f>50</f>
        <v>50</v>
      </c>
      <c r="M12" s="71">
        <f t="shared" si="5"/>
        <v>500</v>
      </c>
      <c r="N12" s="71">
        <f t="shared" si="6"/>
        <v>0</v>
      </c>
      <c r="O12" s="71">
        <f t="shared" si="7"/>
        <v>333744.52545155992</v>
      </c>
      <c r="P12" s="71">
        <f t="shared" si="8"/>
        <v>2222.2222222222222</v>
      </c>
      <c r="Q12" s="73">
        <f t="shared" si="9"/>
        <v>335966.74767378217</v>
      </c>
      <c r="R12" s="74">
        <v>0.43</v>
      </c>
      <c r="S12" s="73">
        <f t="shared" si="10"/>
        <v>143510.14594417077</v>
      </c>
      <c r="T12" s="75">
        <f t="shared" si="11"/>
        <v>479476.89361795294</v>
      </c>
      <c r="U12" s="75">
        <f t="shared" si="12"/>
        <v>587941.80842911883</v>
      </c>
      <c r="V12" s="75">
        <f t="shared" si="13"/>
        <v>839084.56383141759</v>
      </c>
      <c r="W12" s="75">
        <f t="shared" si="14"/>
        <v>251142.75540229876</v>
      </c>
      <c r="X12" s="76">
        <f t="shared" si="15"/>
        <v>0.29930565550572613</v>
      </c>
      <c r="Y12" s="77"/>
    </row>
    <row r="13" spans="1:25" s="66" customFormat="1" ht="12" x14ac:dyDescent="0.3">
      <c r="A13" s="67">
        <v>1</v>
      </c>
      <c r="B13" s="68" t="s">
        <v>139</v>
      </c>
      <c r="C13" s="69" t="s">
        <v>786</v>
      </c>
      <c r="D13" s="70">
        <v>7</v>
      </c>
      <c r="E13" s="70">
        <f t="shared" si="16"/>
        <v>1218</v>
      </c>
      <c r="F13" s="71">
        <f>1000000/12</f>
        <v>83333.333333333328</v>
      </c>
      <c r="G13" s="72">
        <f t="shared" si="0"/>
        <v>4469.9872286079171</v>
      </c>
      <c r="H13" s="72">
        <f t="shared" si="1"/>
        <v>0</v>
      </c>
      <c r="I13" s="71">
        <f t="shared" si="2"/>
        <v>4008.333333333333</v>
      </c>
      <c r="J13" s="72">
        <f t="shared" si="3"/>
        <v>623.33333333333337</v>
      </c>
      <c r="K13" s="71">
        <f t="shared" si="4"/>
        <v>428.57142857142856</v>
      </c>
      <c r="L13" s="71">
        <f>50</f>
        <v>50</v>
      </c>
      <c r="M13" s="71">
        <f t="shared" si="5"/>
        <v>500</v>
      </c>
      <c r="N13" s="71">
        <f t="shared" si="6"/>
        <v>0</v>
      </c>
      <c r="O13" s="71">
        <f t="shared" si="7"/>
        <v>93413.558657179339</v>
      </c>
      <c r="P13" s="71">
        <f t="shared" si="8"/>
        <v>2222.2222222222222</v>
      </c>
      <c r="Q13" s="73">
        <f t="shared" si="9"/>
        <v>95635.780879401558</v>
      </c>
      <c r="R13" s="74">
        <v>0.43</v>
      </c>
      <c r="S13" s="73">
        <f t="shared" si="10"/>
        <v>40167.830222587116</v>
      </c>
      <c r="T13" s="75">
        <f t="shared" si="11"/>
        <v>135803.61110198867</v>
      </c>
      <c r="U13" s="75">
        <f t="shared" si="12"/>
        <v>669450.46615581086</v>
      </c>
      <c r="V13" s="75">
        <f t="shared" si="13"/>
        <v>950625.27771392069</v>
      </c>
      <c r="W13" s="75">
        <f t="shared" si="14"/>
        <v>281174.81155810982</v>
      </c>
      <c r="X13" s="76">
        <f t="shared" si="15"/>
        <v>0.29577880806439699</v>
      </c>
      <c r="Y13" s="77"/>
    </row>
    <row r="14" spans="1:25" s="66" customFormat="1" ht="12" x14ac:dyDescent="0.3">
      <c r="A14" s="67">
        <v>1</v>
      </c>
      <c r="B14" s="68" t="s">
        <v>140</v>
      </c>
      <c r="C14" s="69" t="s">
        <v>785</v>
      </c>
      <c r="D14" s="70">
        <v>7</v>
      </c>
      <c r="E14" s="70">
        <f t="shared" si="16"/>
        <v>1218</v>
      </c>
      <c r="F14" s="71">
        <f>2000000/12</f>
        <v>166666.66666666666</v>
      </c>
      <c r="G14" s="72">
        <f t="shared" si="0"/>
        <v>8939.9744572158343</v>
      </c>
      <c r="H14" s="72">
        <f t="shared" si="1"/>
        <v>0</v>
      </c>
      <c r="I14" s="71">
        <f t="shared" si="2"/>
        <v>8016.6666666666661</v>
      </c>
      <c r="J14" s="72">
        <f t="shared" si="3"/>
        <v>1246.6666666666667</v>
      </c>
      <c r="K14" s="71">
        <f t="shared" si="4"/>
        <v>428.57142857142856</v>
      </c>
      <c r="L14" s="71">
        <f>50</f>
        <v>50</v>
      </c>
      <c r="M14" s="71">
        <f t="shared" si="5"/>
        <v>500</v>
      </c>
      <c r="N14" s="71">
        <f t="shared" si="6"/>
        <v>0</v>
      </c>
      <c r="O14" s="71">
        <f t="shared" si="7"/>
        <v>185848.54588578723</v>
      </c>
      <c r="P14" s="71">
        <f t="shared" si="8"/>
        <v>2222.2222222222222</v>
      </c>
      <c r="Q14" s="73">
        <f t="shared" si="9"/>
        <v>188070.76810800945</v>
      </c>
      <c r="R14" s="74">
        <v>0.43</v>
      </c>
      <c r="S14" s="73">
        <f t="shared" si="10"/>
        <v>79914.874730888507</v>
      </c>
      <c r="T14" s="75">
        <f t="shared" si="11"/>
        <v>267985.64283889794</v>
      </c>
      <c r="U14" s="75">
        <f t="shared" si="12"/>
        <v>1316495.3767560662</v>
      </c>
      <c r="V14" s="75">
        <f t="shared" si="13"/>
        <v>1875899.4998722856</v>
      </c>
      <c r="W14" s="75">
        <f t="shared" si="14"/>
        <v>559404.12311621942</v>
      </c>
      <c r="X14" s="76">
        <f t="shared" si="15"/>
        <v>0.29820580641676409</v>
      </c>
      <c r="Y14" s="77"/>
    </row>
    <row r="15" spans="1:25" s="66" customFormat="1" ht="12" x14ac:dyDescent="0.3">
      <c r="A15" s="67">
        <v>1</v>
      </c>
      <c r="B15" s="68" t="s">
        <v>141</v>
      </c>
      <c r="C15" s="69" t="s">
        <v>788</v>
      </c>
      <c r="D15" s="70">
        <v>8</v>
      </c>
      <c r="E15" s="70">
        <f t="shared" si="16"/>
        <v>1392</v>
      </c>
      <c r="F15" s="71">
        <f>2500000/12</f>
        <v>208333.33333333334</v>
      </c>
      <c r="G15" s="72">
        <f t="shared" si="0"/>
        <v>11174.968071519794</v>
      </c>
      <c r="H15" s="72">
        <f t="shared" si="1"/>
        <v>0</v>
      </c>
      <c r="I15" s="71">
        <f t="shared" si="2"/>
        <v>10020.833333333334</v>
      </c>
      <c r="J15" s="72">
        <f t="shared" si="3"/>
        <v>1558.3333333333335</v>
      </c>
      <c r="K15" s="71">
        <f t="shared" si="4"/>
        <v>375</v>
      </c>
      <c r="L15" s="71">
        <f>50</f>
        <v>50</v>
      </c>
      <c r="M15" s="71">
        <f t="shared" si="5"/>
        <v>437.5</v>
      </c>
      <c r="N15" s="71">
        <f t="shared" si="6"/>
        <v>0</v>
      </c>
      <c r="O15" s="71">
        <f t="shared" si="7"/>
        <v>231949.96807151983</v>
      </c>
      <c r="P15" s="71">
        <f t="shared" si="8"/>
        <v>2222.2222222222222</v>
      </c>
      <c r="Q15" s="73">
        <f t="shared" si="9"/>
        <v>234172.19029374205</v>
      </c>
      <c r="R15" s="74">
        <v>0.43</v>
      </c>
      <c r="S15" s="73">
        <f t="shared" si="10"/>
        <v>99738.486270753521</v>
      </c>
      <c r="T15" s="75">
        <f t="shared" si="11"/>
        <v>333910.67656449554</v>
      </c>
      <c r="U15" s="75">
        <f t="shared" si="12"/>
        <v>1873377.5223499364</v>
      </c>
      <c r="V15" s="75">
        <f t="shared" si="13"/>
        <v>2671285.4125159644</v>
      </c>
      <c r="W15" s="75">
        <f t="shared" si="14"/>
        <v>797907.89016602794</v>
      </c>
      <c r="X15" s="76">
        <f t="shared" si="15"/>
        <v>0.29869810482531484</v>
      </c>
      <c r="Y15" s="77"/>
    </row>
    <row r="16" spans="1:25" s="66" customFormat="1" ht="12" x14ac:dyDescent="0.3">
      <c r="A16" s="67">
        <v>1</v>
      </c>
      <c r="B16" s="68" t="s">
        <v>142</v>
      </c>
      <c r="C16" s="69" t="s">
        <v>786</v>
      </c>
      <c r="D16" s="70">
        <v>7</v>
      </c>
      <c r="E16" s="70">
        <f t="shared" si="16"/>
        <v>1218</v>
      </c>
      <c r="F16" s="71">
        <f>2100000/12</f>
        <v>175000</v>
      </c>
      <c r="G16" s="72">
        <f t="shared" si="0"/>
        <v>9386.9731800766276</v>
      </c>
      <c r="H16" s="72">
        <f t="shared" si="1"/>
        <v>0</v>
      </c>
      <c r="I16" s="71">
        <f t="shared" si="2"/>
        <v>8417.5</v>
      </c>
      <c r="J16" s="72">
        <f t="shared" si="3"/>
        <v>1309.0000000000002</v>
      </c>
      <c r="K16" s="71">
        <f t="shared" si="4"/>
        <v>428.57142857142856</v>
      </c>
      <c r="L16" s="71">
        <f>50</f>
        <v>50</v>
      </c>
      <c r="M16" s="71">
        <f t="shared" si="5"/>
        <v>500</v>
      </c>
      <c r="N16" s="71">
        <f t="shared" si="6"/>
        <v>0</v>
      </c>
      <c r="O16" s="71">
        <f t="shared" si="7"/>
        <v>195092.04460864805</v>
      </c>
      <c r="P16" s="71">
        <f t="shared" si="8"/>
        <v>2222.2222222222222</v>
      </c>
      <c r="Q16" s="73">
        <f t="shared" si="9"/>
        <v>197314.26683087027</v>
      </c>
      <c r="R16" s="74">
        <v>0.43</v>
      </c>
      <c r="S16" s="73">
        <f t="shared" si="10"/>
        <v>83889.579181718655</v>
      </c>
      <c r="T16" s="75">
        <f t="shared" si="11"/>
        <v>281203.84601258894</v>
      </c>
      <c r="U16" s="75">
        <f t="shared" si="12"/>
        <v>1381199.867816092</v>
      </c>
      <c r="V16" s="75">
        <f t="shared" si="13"/>
        <v>1968426.9220881225</v>
      </c>
      <c r="W16" s="75">
        <f t="shared" si="14"/>
        <v>587227.05427203048</v>
      </c>
      <c r="X16" s="76">
        <f t="shared" si="15"/>
        <v>0.29832301503430741</v>
      </c>
      <c r="Y16" s="77"/>
    </row>
    <row r="17" spans="1:50 15692:16382" s="66" customFormat="1" ht="12" x14ac:dyDescent="0.3">
      <c r="A17" s="67">
        <v>2</v>
      </c>
      <c r="B17" s="68" t="s">
        <v>143</v>
      </c>
      <c r="C17" s="69" t="s">
        <v>785</v>
      </c>
      <c r="D17" s="70">
        <v>8</v>
      </c>
      <c r="E17" s="70">
        <f t="shared" si="16"/>
        <v>2784</v>
      </c>
      <c r="F17" s="71">
        <f>2700000/12</f>
        <v>225000</v>
      </c>
      <c r="G17" s="72">
        <f t="shared" si="0"/>
        <v>12068.96551724138</v>
      </c>
      <c r="H17" s="72">
        <f t="shared" si="1"/>
        <v>0</v>
      </c>
      <c r="I17" s="71">
        <f t="shared" si="2"/>
        <v>10822.5</v>
      </c>
      <c r="J17" s="72">
        <f t="shared" si="3"/>
        <v>1683.0000000000002</v>
      </c>
      <c r="K17" s="71">
        <f t="shared" si="4"/>
        <v>375</v>
      </c>
      <c r="L17" s="71">
        <f>50</f>
        <v>50</v>
      </c>
      <c r="M17" s="71">
        <f t="shared" si="5"/>
        <v>437.5</v>
      </c>
      <c r="N17" s="71">
        <f t="shared" si="6"/>
        <v>0</v>
      </c>
      <c r="O17" s="71">
        <f t="shared" si="7"/>
        <v>250436.96551724139</v>
      </c>
      <c r="P17" s="71">
        <f t="shared" si="8"/>
        <v>2222.2222222222222</v>
      </c>
      <c r="Q17" s="73">
        <f t="shared" si="9"/>
        <v>252659.18773946361</v>
      </c>
      <c r="R17" s="74">
        <v>0.43</v>
      </c>
      <c r="S17" s="73">
        <f t="shared" si="10"/>
        <v>107687.8951724138</v>
      </c>
      <c r="T17" s="75">
        <f t="shared" si="11"/>
        <v>360347.08291187743</v>
      </c>
      <c r="U17" s="75">
        <f t="shared" si="12"/>
        <v>4042547.0038314178</v>
      </c>
      <c r="V17" s="75">
        <f t="shared" si="13"/>
        <v>5765553.3265900388</v>
      </c>
      <c r="W17" s="75">
        <f t="shared" si="14"/>
        <v>1723006.3227586211</v>
      </c>
      <c r="X17" s="76">
        <f t="shared" si="15"/>
        <v>0.29884492002048146</v>
      </c>
      <c r="Y17" s="77"/>
    </row>
    <row r="18" spans="1:50 15692:16382" s="66" customFormat="1" ht="12" x14ac:dyDescent="0.3">
      <c r="A18" s="67">
        <v>1</v>
      </c>
      <c r="B18" s="68" t="s">
        <v>144</v>
      </c>
      <c r="C18" s="69" t="s">
        <v>788</v>
      </c>
      <c r="D18" s="70">
        <v>8</v>
      </c>
      <c r="E18" s="70">
        <f t="shared" si="16"/>
        <v>1392</v>
      </c>
      <c r="F18" s="71">
        <f>2700000/12</f>
        <v>225000</v>
      </c>
      <c r="G18" s="72">
        <f t="shared" si="0"/>
        <v>12068.96551724138</v>
      </c>
      <c r="H18" s="72">
        <f t="shared" si="1"/>
        <v>0</v>
      </c>
      <c r="I18" s="71">
        <f t="shared" si="2"/>
        <v>10822.5</v>
      </c>
      <c r="J18" s="72">
        <f t="shared" si="3"/>
        <v>1683.0000000000002</v>
      </c>
      <c r="K18" s="71">
        <f t="shared" si="4"/>
        <v>375</v>
      </c>
      <c r="L18" s="71">
        <f>50</f>
        <v>50</v>
      </c>
      <c r="M18" s="71">
        <f t="shared" si="5"/>
        <v>437.5</v>
      </c>
      <c r="N18" s="71">
        <f t="shared" si="6"/>
        <v>0</v>
      </c>
      <c r="O18" s="71">
        <f t="shared" si="7"/>
        <v>250436.96551724139</v>
      </c>
      <c r="P18" s="71">
        <f t="shared" si="8"/>
        <v>2222.2222222222222</v>
      </c>
      <c r="Q18" s="73">
        <f t="shared" si="9"/>
        <v>252659.18773946361</v>
      </c>
      <c r="R18" s="74">
        <v>0.43</v>
      </c>
      <c r="S18" s="73">
        <f t="shared" si="10"/>
        <v>107687.8951724138</v>
      </c>
      <c r="T18" s="75">
        <f t="shared" si="11"/>
        <v>360347.08291187743</v>
      </c>
      <c r="U18" s="75">
        <f t="shared" si="12"/>
        <v>2021273.5019157089</v>
      </c>
      <c r="V18" s="75">
        <f t="shared" si="13"/>
        <v>2882776.6632950194</v>
      </c>
      <c r="W18" s="75">
        <f t="shared" si="14"/>
        <v>861503.16137931054</v>
      </c>
      <c r="X18" s="76">
        <f t="shared" si="15"/>
        <v>0.29884492002048146</v>
      </c>
      <c r="Y18" s="77"/>
    </row>
    <row r="19" spans="1:50 15692:16382" s="66" customFormat="1" ht="12" x14ac:dyDescent="0.3">
      <c r="A19" s="67">
        <v>1</v>
      </c>
      <c r="B19" s="68" t="s">
        <v>145</v>
      </c>
      <c r="C19" s="69" t="s">
        <v>781</v>
      </c>
      <c r="D19" s="70">
        <v>3</v>
      </c>
      <c r="E19" s="70">
        <f t="shared" si="16"/>
        <v>522</v>
      </c>
      <c r="F19" s="71">
        <f>3800000/12</f>
        <v>316666.66666666669</v>
      </c>
      <c r="G19" s="72">
        <f t="shared" si="0"/>
        <v>16985.951468710089</v>
      </c>
      <c r="H19" s="72">
        <f t="shared" si="1"/>
        <v>0</v>
      </c>
      <c r="I19" s="71">
        <f t="shared" si="2"/>
        <v>15231.666666666666</v>
      </c>
      <c r="J19" s="72">
        <f t="shared" si="3"/>
        <v>2368.666666666667</v>
      </c>
      <c r="K19" s="71">
        <f t="shared" si="4"/>
        <v>1000</v>
      </c>
      <c r="L19" s="71">
        <f>50</f>
        <v>50</v>
      </c>
      <c r="M19" s="71">
        <f t="shared" si="5"/>
        <v>1166.6666666666667</v>
      </c>
      <c r="N19" s="71">
        <f t="shared" si="6"/>
        <v>0</v>
      </c>
      <c r="O19" s="71">
        <f t="shared" si="7"/>
        <v>353469.61813537683</v>
      </c>
      <c r="P19" s="71">
        <f t="shared" si="8"/>
        <v>2222.2222222222222</v>
      </c>
      <c r="Q19" s="73">
        <f t="shared" si="9"/>
        <v>355691.84035759908</v>
      </c>
      <c r="R19" s="74">
        <v>0.43</v>
      </c>
      <c r="S19" s="73">
        <f t="shared" si="10"/>
        <v>151991.93579821204</v>
      </c>
      <c r="T19" s="75">
        <f t="shared" si="11"/>
        <v>507683.77615581115</v>
      </c>
      <c r="U19" s="75">
        <f t="shared" si="12"/>
        <v>1067075.5210727972</v>
      </c>
      <c r="V19" s="75">
        <f t="shared" si="13"/>
        <v>1523051.3284674333</v>
      </c>
      <c r="W19" s="75">
        <f t="shared" si="14"/>
        <v>455975.8073946361</v>
      </c>
      <c r="X19" s="76">
        <f t="shared" si="15"/>
        <v>0.29938308635563887</v>
      </c>
      <c r="Y19" s="77"/>
    </row>
    <row r="20" spans="1:50 15692:16382" s="66" customFormat="1" ht="12" x14ac:dyDescent="0.3">
      <c r="A20" s="67">
        <v>1</v>
      </c>
      <c r="B20" s="68" t="s">
        <v>146</v>
      </c>
      <c r="C20" s="69" t="s">
        <v>789</v>
      </c>
      <c r="D20" s="70">
        <v>6</v>
      </c>
      <c r="E20" s="70">
        <f t="shared" si="16"/>
        <v>1044</v>
      </c>
      <c r="F20" s="71">
        <f>2500000/12</f>
        <v>208333.33333333334</v>
      </c>
      <c r="G20" s="72">
        <f t="shared" si="0"/>
        <v>11174.968071519794</v>
      </c>
      <c r="H20" s="72">
        <f t="shared" si="1"/>
        <v>0</v>
      </c>
      <c r="I20" s="71">
        <f t="shared" si="2"/>
        <v>10020.833333333334</v>
      </c>
      <c r="J20" s="72">
        <f t="shared" si="3"/>
        <v>1558.3333333333335</v>
      </c>
      <c r="K20" s="71">
        <f t="shared" si="4"/>
        <v>500</v>
      </c>
      <c r="L20" s="71">
        <f>50</f>
        <v>50</v>
      </c>
      <c r="M20" s="71">
        <f t="shared" si="5"/>
        <v>583.33333333333337</v>
      </c>
      <c r="N20" s="71">
        <f t="shared" si="6"/>
        <v>0</v>
      </c>
      <c r="O20" s="71">
        <f t="shared" si="7"/>
        <v>232220.80140485318</v>
      </c>
      <c r="P20" s="71">
        <f t="shared" si="8"/>
        <v>2222.2222222222222</v>
      </c>
      <c r="Q20" s="73">
        <f t="shared" si="9"/>
        <v>234443.0236270754</v>
      </c>
      <c r="R20" s="74">
        <v>0.43</v>
      </c>
      <c r="S20" s="73">
        <f t="shared" si="10"/>
        <v>99854.944604086864</v>
      </c>
      <c r="T20" s="75">
        <f t="shared" si="11"/>
        <v>334297.96823116229</v>
      </c>
      <c r="U20" s="75">
        <f t="shared" si="12"/>
        <v>1406658.1417624524</v>
      </c>
      <c r="V20" s="75">
        <f t="shared" si="13"/>
        <v>2005787.8093869737</v>
      </c>
      <c r="W20" s="75">
        <f t="shared" si="14"/>
        <v>599129.6676245213</v>
      </c>
      <c r="X20" s="76">
        <f t="shared" si="15"/>
        <v>0.29870042325545515</v>
      </c>
      <c r="Y20" s="77"/>
    </row>
    <row r="21" spans="1:50 15692:16382" s="66" customFormat="1" ht="12" x14ac:dyDescent="0.3">
      <c r="A21" s="67">
        <v>1</v>
      </c>
      <c r="B21" s="68" t="s">
        <v>86</v>
      </c>
      <c r="C21" s="69" t="s">
        <v>784</v>
      </c>
      <c r="D21" s="70">
        <v>7</v>
      </c>
      <c r="E21" s="70">
        <f t="shared" si="16"/>
        <v>1218</v>
      </c>
      <c r="F21" s="71">
        <f>2700000/12</f>
        <v>225000</v>
      </c>
      <c r="G21" s="72">
        <f t="shared" si="0"/>
        <v>12068.96551724138</v>
      </c>
      <c r="H21" s="72">
        <f t="shared" si="1"/>
        <v>0</v>
      </c>
      <c r="I21" s="71">
        <f t="shared" si="2"/>
        <v>10822.5</v>
      </c>
      <c r="J21" s="72">
        <f t="shared" si="3"/>
        <v>1683.0000000000002</v>
      </c>
      <c r="K21" s="71">
        <f t="shared" si="4"/>
        <v>428.57142857142856</v>
      </c>
      <c r="L21" s="71">
        <f>50</f>
        <v>50</v>
      </c>
      <c r="M21" s="71">
        <f t="shared" si="5"/>
        <v>500</v>
      </c>
      <c r="N21" s="71">
        <f t="shared" si="6"/>
        <v>0</v>
      </c>
      <c r="O21" s="71">
        <f t="shared" si="7"/>
        <v>250553.03694581281</v>
      </c>
      <c r="P21" s="71">
        <f t="shared" si="8"/>
        <v>2222.2222222222222</v>
      </c>
      <c r="Q21" s="73">
        <f t="shared" si="9"/>
        <v>252775.25916803503</v>
      </c>
      <c r="R21" s="74">
        <v>0.43</v>
      </c>
      <c r="S21" s="73">
        <f t="shared" si="10"/>
        <v>107737.80588669951</v>
      </c>
      <c r="T21" s="75">
        <f t="shared" si="11"/>
        <v>360513.06505473453</v>
      </c>
      <c r="U21" s="75">
        <f t="shared" si="12"/>
        <v>1769426.8141762451</v>
      </c>
      <c r="V21" s="75">
        <f t="shared" si="13"/>
        <v>2523591.4553831415</v>
      </c>
      <c r="W21" s="75">
        <f t="shared" si="14"/>
        <v>754164.6412068964</v>
      </c>
      <c r="X21" s="76">
        <f t="shared" si="15"/>
        <v>0.29884577378726151</v>
      </c>
      <c r="Y21" s="77"/>
    </row>
    <row r="22" spans="1:50 15692:16382" s="66" customFormat="1" ht="12" x14ac:dyDescent="0.3">
      <c r="A22" s="67">
        <v>1</v>
      </c>
      <c r="B22" s="68" t="s">
        <v>147</v>
      </c>
      <c r="C22" s="69" t="s">
        <v>790</v>
      </c>
      <c r="D22" s="70">
        <v>7</v>
      </c>
      <c r="E22" s="70">
        <f t="shared" si="16"/>
        <v>1218</v>
      </c>
      <c r="F22" s="71">
        <f>1100000/12</f>
        <v>91666.666666666672</v>
      </c>
      <c r="G22" s="72">
        <f t="shared" si="0"/>
        <v>4916.9859514687105</v>
      </c>
      <c r="H22" s="72">
        <f t="shared" si="1"/>
        <v>0</v>
      </c>
      <c r="I22" s="71">
        <f t="shared" si="2"/>
        <v>4409.166666666667</v>
      </c>
      <c r="J22" s="72">
        <f t="shared" si="3"/>
        <v>685.66666666666674</v>
      </c>
      <c r="K22" s="71">
        <f t="shared" si="4"/>
        <v>428.57142857142856</v>
      </c>
      <c r="L22" s="71">
        <f>50</f>
        <v>50</v>
      </c>
      <c r="M22" s="71">
        <f t="shared" si="5"/>
        <v>500</v>
      </c>
      <c r="N22" s="71">
        <f t="shared" si="6"/>
        <v>0</v>
      </c>
      <c r="O22" s="71">
        <f t="shared" si="7"/>
        <v>102657.05738004016</v>
      </c>
      <c r="P22" s="71">
        <f t="shared" si="8"/>
        <v>2222.2222222222222</v>
      </c>
      <c r="Q22" s="73">
        <f t="shared" si="9"/>
        <v>104879.27960226238</v>
      </c>
      <c r="R22" s="74">
        <v>0.43</v>
      </c>
      <c r="S22" s="73">
        <f t="shared" si="10"/>
        <v>44142.534673417271</v>
      </c>
      <c r="T22" s="75">
        <f t="shared" si="11"/>
        <v>149021.81427567964</v>
      </c>
      <c r="U22" s="75">
        <f t="shared" si="12"/>
        <v>734154.95721583662</v>
      </c>
      <c r="V22" s="75">
        <f t="shared" si="13"/>
        <v>1043152.6999297575</v>
      </c>
      <c r="W22" s="75">
        <f t="shared" si="14"/>
        <v>308997.74271392089</v>
      </c>
      <c r="X22" s="76">
        <f t="shared" si="15"/>
        <v>0.29621525471268761</v>
      </c>
      <c r="Y22" s="77"/>
    </row>
    <row r="23" spans="1:50 15692:16382" s="66" customFormat="1" ht="12" x14ac:dyDescent="0.3">
      <c r="A23" s="67">
        <v>1</v>
      </c>
      <c r="B23" s="68" t="s">
        <v>148</v>
      </c>
      <c r="C23" s="69" t="s">
        <v>785</v>
      </c>
      <c r="D23" s="70">
        <v>7</v>
      </c>
      <c r="E23" s="70">
        <f t="shared" si="16"/>
        <v>1218</v>
      </c>
      <c r="F23" s="71">
        <f>2000000/12</f>
        <v>166666.66666666666</v>
      </c>
      <c r="G23" s="72">
        <f t="shared" si="0"/>
        <v>8939.9744572158343</v>
      </c>
      <c r="H23" s="72">
        <f t="shared" si="1"/>
        <v>0</v>
      </c>
      <c r="I23" s="71">
        <f t="shared" si="2"/>
        <v>8016.6666666666661</v>
      </c>
      <c r="J23" s="72">
        <f t="shared" si="3"/>
        <v>1246.6666666666667</v>
      </c>
      <c r="K23" s="71">
        <f t="shared" si="4"/>
        <v>428.57142857142856</v>
      </c>
      <c r="L23" s="71">
        <f>50</f>
        <v>50</v>
      </c>
      <c r="M23" s="71">
        <f t="shared" si="5"/>
        <v>500</v>
      </c>
      <c r="N23" s="71">
        <f t="shared" si="6"/>
        <v>0</v>
      </c>
      <c r="O23" s="71">
        <f t="shared" si="7"/>
        <v>185848.54588578723</v>
      </c>
      <c r="P23" s="71">
        <f t="shared" si="8"/>
        <v>2222.2222222222222</v>
      </c>
      <c r="Q23" s="73">
        <f t="shared" si="9"/>
        <v>188070.76810800945</v>
      </c>
      <c r="R23" s="74">
        <v>0.43</v>
      </c>
      <c r="S23" s="73">
        <f t="shared" si="10"/>
        <v>79914.874730888507</v>
      </c>
      <c r="T23" s="75">
        <f t="shared" si="11"/>
        <v>267985.64283889794</v>
      </c>
      <c r="U23" s="75">
        <f t="shared" si="12"/>
        <v>1316495.3767560662</v>
      </c>
      <c r="V23" s="75">
        <f t="shared" si="13"/>
        <v>1875899.4998722856</v>
      </c>
      <c r="W23" s="75">
        <f t="shared" si="14"/>
        <v>559404.12311621942</v>
      </c>
      <c r="X23" s="76">
        <f t="shared" si="15"/>
        <v>0.29820580641676409</v>
      </c>
      <c r="Y23" s="77"/>
    </row>
    <row r="24" spans="1:50 15692:16382" s="66" customFormat="1" ht="12" x14ac:dyDescent="0.3">
      <c r="A24" s="67">
        <v>1</v>
      </c>
      <c r="B24" s="68" t="s">
        <v>149</v>
      </c>
      <c r="C24" s="69" t="s">
        <v>788</v>
      </c>
      <c r="D24" s="70">
        <v>6</v>
      </c>
      <c r="E24" s="70">
        <f t="shared" si="16"/>
        <v>1044</v>
      </c>
      <c r="F24" s="71">
        <f>2000000/12</f>
        <v>166666.66666666666</v>
      </c>
      <c r="G24" s="72">
        <f t="shared" si="0"/>
        <v>8939.9744572158343</v>
      </c>
      <c r="H24" s="72">
        <f t="shared" si="1"/>
        <v>0</v>
      </c>
      <c r="I24" s="71">
        <f t="shared" si="2"/>
        <v>8016.6666666666661</v>
      </c>
      <c r="J24" s="72">
        <f t="shared" si="3"/>
        <v>1246.6666666666667</v>
      </c>
      <c r="K24" s="71">
        <f t="shared" si="4"/>
        <v>500</v>
      </c>
      <c r="L24" s="71">
        <f>50</f>
        <v>50</v>
      </c>
      <c r="M24" s="71">
        <f t="shared" si="5"/>
        <v>583.33333333333337</v>
      </c>
      <c r="N24" s="71">
        <f t="shared" si="6"/>
        <v>0</v>
      </c>
      <c r="O24" s="71">
        <f t="shared" si="7"/>
        <v>186003.30779054915</v>
      </c>
      <c r="P24" s="71">
        <f t="shared" si="8"/>
        <v>2222.2222222222222</v>
      </c>
      <c r="Q24" s="73">
        <f t="shared" si="9"/>
        <v>188225.53001277137</v>
      </c>
      <c r="R24" s="74">
        <v>0.43</v>
      </c>
      <c r="S24" s="73">
        <f t="shared" si="10"/>
        <v>79981.42234993614</v>
      </c>
      <c r="T24" s="75">
        <f t="shared" si="11"/>
        <v>268206.95236270753</v>
      </c>
      <c r="U24" s="75">
        <f t="shared" si="12"/>
        <v>1129353.1800766282</v>
      </c>
      <c r="V24" s="75">
        <f t="shared" si="13"/>
        <v>1609241.714176245</v>
      </c>
      <c r="W24" s="75">
        <f t="shared" si="14"/>
        <v>479888.53409961681</v>
      </c>
      <c r="X24" s="76">
        <f t="shared" si="15"/>
        <v>0.29820786391015658</v>
      </c>
      <c r="Y24" s="77"/>
    </row>
    <row r="25" spans="1:50 15692:16382" s="66" customFormat="1" ht="12" x14ac:dyDescent="0.3">
      <c r="A25" s="79">
        <f>SUM(A3:A24)</f>
        <v>22.583333333333332</v>
      </c>
      <c r="B25" s="80"/>
      <c r="C25" s="80"/>
      <c r="D25" s="81"/>
      <c r="E25" s="81"/>
      <c r="F25" s="82">
        <f>SUM(F3:F24)</f>
        <v>4750000.0000000009</v>
      </c>
      <c r="G25" s="82">
        <f>SUM(G3:G24)</f>
        <v>254789.27203065139</v>
      </c>
      <c r="H25" s="82">
        <f t="shared" ref="H25:N25" si="17">SUM(H3:H24)</f>
        <v>0</v>
      </c>
      <c r="I25" s="82">
        <f>SUM(I3:I24)</f>
        <v>228474.99999999997</v>
      </c>
      <c r="J25" s="82">
        <f t="shared" si="17"/>
        <v>35530</v>
      </c>
      <c r="K25" s="82">
        <f t="shared" si="17"/>
        <v>11561.274509803923</v>
      </c>
      <c r="L25" s="82">
        <f t="shared" si="17"/>
        <v>1100</v>
      </c>
      <c r="M25" s="82">
        <f t="shared" si="17"/>
        <v>13488.153594771242</v>
      </c>
      <c r="N25" s="82">
        <f t="shared" si="17"/>
        <v>0</v>
      </c>
      <c r="O25" s="82">
        <f>SUM(O3:O24)</f>
        <v>5294943.7001352264</v>
      </c>
      <c r="P25" s="82">
        <f>SUM(P3:P24)</f>
        <v>48888.888888888869</v>
      </c>
      <c r="Q25" s="82">
        <f>SUM(Q3:Q24)</f>
        <v>5343832.5890241154</v>
      </c>
      <c r="R25" s="82"/>
      <c r="S25" s="82">
        <f>SUM(S3:S24)</f>
        <v>2276825.7910581478</v>
      </c>
      <c r="T25" s="82">
        <f>SUM(T3:T24)</f>
        <v>7620658.3800822608</v>
      </c>
      <c r="U25" s="82">
        <f>SUM(U3:U24)</f>
        <v>36554879.741379306</v>
      </c>
      <c r="V25" s="82">
        <f>SUM(V3:V24)</f>
        <v>52122739.141283527</v>
      </c>
      <c r="W25" s="82">
        <f>SUM(W3:W24)</f>
        <v>15567859.399904214</v>
      </c>
      <c r="X25" s="76">
        <f t="shared" si="15"/>
        <v>0.29867692405240032</v>
      </c>
      <c r="Y25" s="83"/>
    </row>
    <row r="26" spans="1:50 15692:16382" s="66" customFormat="1" ht="12" x14ac:dyDescent="0.3">
      <c r="A26" s="84"/>
      <c r="B26" s="85"/>
      <c r="C26" s="85"/>
      <c r="D26" s="117"/>
      <c r="E26" s="117"/>
      <c r="F26" s="86"/>
      <c r="G26" s="86"/>
      <c r="H26" s="86"/>
      <c r="I26" s="86"/>
      <c r="J26" s="86"/>
      <c r="K26" s="86"/>
      <c r="L26" s="86"/>
      <c r="M26" s="86"/>
      <c r="N26" s="86"/>
      <c r="O26" s="86"/>
      <c r="P26" s="86"/>
      <c r="T26" s="85"/>
      <c r="U26" s="85"/>
      <c r="V26" s="85"/>
    </row>
    <row r="27" spans="1:50 15692:16382" s="66" customFormat="1" ht="12" x14ac:dyDescent="0.3">
      <c r="H27" s="86"/>
      <c r="I27" s="86"/>
      <c r="K27" s="86"/>
      <c r="L27" s="86"/>
      <c r="M27" s="86"/>
      <c r="N27" s="86"/>
      <c r="P27" s="86"/>
      <c r="R27" s="87"/>
      <c r="S27" s="88"/>
      <c r="T27" s="88" t="s">
        <v>791</v>
      </c>
      <c r="U27" s="85"/>
      <c r="V27" s="85"/>
    </row>
    <row r="28" spans="1:50 15692:16382" s="66" customFormat="1" ht="14.4" x14ac:dyDescent="0.3">
      <c r="B28"/>
      <c r="K28" s="86"/>
      <c r="L28" s="86"/>
      <c r="M28" s="86"/>
      <c r="N28" s="86"/>
      <c r="S28" s="88"/>
      <c r="T28" s="88" t="s">
        <v>792</v>
      </c>
      <c r="U28" s="66">
        <f>N35</f>
        <v>0</v>
      </c>
      <c r="V28" s="85"/>
      <c r="W28" s="85"/>
    </row>
    <row r="29" spans="1:50 15692:16382" s="66" customFormat="1" ht="12" x14ac:dyDescent="0.3">
      <c r="K29" s="86"/>
      <c r="L29" s="86"/>
      <c r="M29" s="86"/>
      <c r="N29" s="86"/>
      <c r="S29" s="88"/>
      <c r="T29" s="88" t="s">
        <v>793</v>
      </c>
      <c r="U29" s="89"/>
      <c r="V29" s="85"/>
      <c r="W29" s="85"/>
    </row>
    <row r="30" spans="1:50 15692:16382" s="91" customFormat="1" x14ac:dyDescent="0.3">
      <c r="A30" s="64"/>
      <c r="B30" s="64"/>
      <c r="C30" s="64"/>
      <c r="D30" s="64"/>
      <c r="E30" s="64"/>
      <c r="F30" s="64"/>
      <c r="G30" s="64"/>
      <c r="H30" s="64"/>
      <c r="I30" s="64"/>
      <c r="J30" s="66"/>
      <c r="K30" s="86"/>
      <c r="L30" s="86"/>
      <c r="M30" s="86"/>
      <c r="N30" s="87"/>
      <c r="O30" s="66"/>
      <c r="P30" s="66"/>
      <c r="Q30" s="66"/>
      <c r="R30" s="86"/>
      <c r="S30" s="86"/>
      <c r="T30" s="86"/>
      <c r="U30" s="85"/>
      <c r="V30" s="85"/>
      <c r="W30" s="66"/>
      <c r="X30" s="66"/>
      <c r="Y30" s="66"/>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90"/>
      <c r="WEN30" s="66"/>
      <c r="WEO30" s="66"/>
      <c r="WEP30" s="66"/>
      <c r="WEQ30" s="66"/>
      <c r="WER30" s="66"/>
      <c r="WES30" s="66"/>
      <c r="WET30" s="66"/>
      <c r="WEU30" s="66"/>
      <c r="WEV30" s="66"/>
      <c r="WEW30" s="66"/>
      <c r="WEX30" s="66"/>
      <c r="WEY30" s="66"/>
      <c r="WEZ30" s="66"/>
      <c r="WFA30" s="66"/>
      <c r="WFB30" s="66"/>
      <c r="WFC30" s="66"/>
      <c r="WFD30" s="66"/>
      <c r="WFE30" s="66"/>
      <c r="WFF30" s="66"/>
      <c r="WFG30" s="66"/>
      <c r="WFH30" s="66"/>
      <c r="WFI30" s="66"/>
      <c r="WFJ30" s="66"/>
      <c r="WFK30" s="66"/>
      <c r="WFL30" s="66"/>
      <c r="WFM30" s="66"/>
      <c r="WFN30" s="66"/>
      <c r="WFO30" s="66"/>
      <c r="WFP30" s="66"/>
      <c r="WFQ30" s="66"/>
      <c r="WFR30" s="66"/>
      <c r="WFS30" s="66"/>
      <c r="WFT30" s="66"/>
      <c r="WFU30" s="66"/>
      <c r="WFV30" s="66"/>
      <c r="WFW30" s="66"/>
      <c r="WFX30" s="66"/>
      <c r="WFY30" s="66"/>
      <c r="WFZ30" s="66"/>
      <c r="WGA30" s="66"/>
      <c r="WGB30" s="66"/>
      <c r="WGC30" s="66"/>
      <c r="WGD30" s="66"/>
      <c r="WGE30" s="66"/>
      <c r="WGF30" s="66"/>
      <c r="WGG30" s="66"/>
      <c r="WGH30" s="66"/>
      <c r="WGI30" s="66"/>
      <c r="WGJ30" s="66"/>
      <c r="WGK30" s="66"/>
      <c r="WGL30" s="66"/>
      <c r="WGM30" s="66"/>
      <c r="WGN30" s="66"/>
      <c r="WGO30" s="66"/>
      <c r="WGP30" s="66"/>
      <c r="WGQ30" s="66"/>
      <c r="WGR30" s="66"/>
      <c r="WGS30" s="66"/>
      <c r="WGT30" s="66"/>
      <c r="WGU30" s="66"/>
      <c r="WGV30" s="66"/>
      <c r="WGW30" s="66"/>
      <c r="WGX30" s="66"/>
      <c r="WGY30" s="66"/>
      <c r="WGZ30" s="66"/>
      <c r="WHA30" s="66"/>
      <c r="WHB30" s="66"/>
      <c r="WHC30" s="66"/>
      <c r="WHD30" s="66"/>
      <c r="WHE30" s="66"/>
      <c r="WHF30" s="66"/>
      <c r="WHG30" s="66"/>
      <c r="WHH30" s="66"/>
      <c r="WHI30" s="66"/>
      <c r="WHJ30" s="66"/>
      <c r="WHK30" s="66"/>
      <c r="WHL30" s="66"/>
      <c r="WHM30" s="66"/>
      <c r="WHN30" s="66"/>
      <c r="WHO30" s="66"/>
      <c r="WHP30" s="66"/>
      <c r="WHQ30" s="66"/>
      <c r="WHR30" s="66"/>
      <c r="WHS30" s="66"/>
      <c r="WHT30" s="66"/>
      <c r="WHU30" s="66"/>
      <c r="WHV30" s="66"/>
      <c r="WHW30" s="66"/>
      <c r="WHX30" s="66"/>
      <c r="WHY30" s="66"/>
      <c r="WHZ30" s="66"/>
      <c r="WIA30" s="66"/>
      <c r="WIB30" s="66"/>
      <c r="WIC30" s="66"/>
      <c r="WID30" s="66"/>
      <c r="WIE30" s="66"/>
      <c r="WIF30" s="66"/>
      <c r="WIG30" s="66"/>
      <c r="WIH30" s="66"/>
      <c r="WII30" s="66"/>
      <c r="WIJ30" s="66"/>
      <c r="WIK30" s="66"/>
      <c r="WIL30" s="66"/>
      <c r="WIM30" s="66"/>
      <c r="WIN30" s="66"/>
      <c r="WIO30" s="66"/>
      <c r="WIP30" s="66"/>
      <c r="WIQ30" s="66"/>
      <c r="WIR30" s="66"/>
      <c r="WIS30" s="66"/>
      <c r="WIT30" s="66"/>
      <c r="WIU30" s="66"/>
      <c r="WIV30" s="66"/>
      <c r="WIW30" s="66"/>
      <c r="WIX30" s="66"/>
      <c r="WIY30" s="66"/>
      <c r="WIZ30" s="66"/>
      <c r="WJA30" s="66"/>
      <c r="WJB30" s="66"/>
      <c r="WJC30" s="66"/>
      <c r="WJD30" s="66"/>
      <c r="WJE30" s="66"/>
      <c r="WJF30" s="66"/>
      <c r="WJG30" s="66"/>
      <c r="WJH30" s="66"/>
      <c r="WJI30" s="66"/>
      <c r="WJJ30" s="66"/>
      <c r="WJK30" s="66"/>
      <c r="WJL30" s="66"/>
      <c r="WJM30" s="66"/>
      <c r="WJN30" s="66"/>
      <c r="WJO30" s="66"/>
      <c r="WJP30" s="66"/>
      <c r="WJQ30" s="66"/>
      <c r="WJR30" s="66"/>
      <c r="WJS30" s="66"/>
      <c r="WJT30" s="66"/>
      <c r="WJU30" s="66"/>
      <c r="WJV30" s="66"/>
      <c r="WJW30" s="66"/>
      <c r="WJX30" s="66"/>
      <c r="WJY30" s="66"/>
      <c r="WJZ30" s="66"/>
      <c r="WKA30" s="66"/>
      <c r="WKB30" s="66"/>
      <c r="WKC30" s="66"/>
      <c r="WKD30" s="66"/>
      <c r="WKE30" s="66"/>
      <c r="WKF30" s="66"/>
      <c r="WKG30" s="66"/>
      <c r="WKH30" s="66"/>
      <c r="WKI30" s="66"/>
      <c r="WKJ30" s="66"/>
      <c r="WKK30" s="66"/>
      <c r="WKL30" s="66"/>
      <c r="WKM30" s="66"/>
      <c r="WKN30" s="66"/>
      <c r="WKO30" s="66"/>
      <c r="WKP30" s="66"/>
      <c r="WKQ30" s="66"/>
      <c r="WKR30" s="66"/>
      <c r="WKS30" s="66"/>
      <c r="WKT30" s="66"/>
      <c r="WKU30" s="66"/>
      <c r="WKV30" s="66"/>
      <c r="WKW30" s="66"/>
      <c r="WKX30" s="66"/>
      <c r="WKY30" s="66"/>
      <c r="WKZ30" s="66"/>
      <c r="WLA30" s="66"/>
      <c r="WLB30" s="66"/>
      <c r="WLC30" s="66"/>
      <c r="WLD30" s="66"/>
      <c r="WLE30" s="66"/>
      <c r="WLF30" s="66"/>
      <c r="WLG30" s="66"/>
      <c r="WLH30" s="66"/>
      <c r="WLI30" s="66"/>
      <c r="WLJ30" s="66"/>
      <c r="WLK30" s="66"/>
      <c r="WLL30" s="66"/>
      <c r="WLM30" s="66"/>
      <c r="WLN30" s="66"/>
      <c r="WLO30" s="66"/>
      <c r="WLP30" s="66"/>
      <c r="WLQ30" s="66"/>
      <c r="WLR30" s="66"/>
      <c r="WLS30" s="66"/>
      <c r="WLT30" s="66"/>
      <c r="WLU30" s="66"/>
      <c r="WLV30" s="66"/>
      <c r="WLW30" s="66"/>
      <c r="WLX30" s="66"/>
      <c r="WLY30" s="66"/>
      <c r="WLZ30" s="66"/>
      <c r="WMA30" s="66"/>
      <c r="WMB30" s="66"/>
      <c r="WMC30" s="66"/>
      <c r="WMD30" s="66"/>
      <c r="WME30" s="66"/>
      <c r="WMF30" s="66"/>
      <c r="WMG30" s="66"/>
      <c r="WMH30" s="66"/>
      <c r="WMI30" s="66"/>
      <c r="WMJ30" s="66"/>
      <c r="WMK30" s="66"/>
      <c r="WML30" s="66"/>
      <c r="WMM30" s="66"/>
      <c r="WMN30" s="66"/>
      <c r="WMO30" s="66"/>
      <c r="WMP30" s="66"/>
      <c r="WMQ30" s="66"/>
      <c r="WMR30" s="66"/>
      <c r="WMS30" s="66"/>
      <c r="WMT30" s="66"/>
      <c r="WMU30" s="66"/>
      <c r="WMV30" s="66"/>
      <c r="WMW30" s="66"/>
      <c r="WMX30" s="66"/>
      <c r="WMY30" s="66"/>
      <c r="WMZ30" s="66"/>
      <c r="WNA30" s="66"/>
      <c r="WNB30" s="66"/>
      <c r="WNC30" s="66"/>
      <c r="WND30" s="66"/>
      <c r="WNE30" s="66"/>
      <c r="WNF30" s="66"/>
      <c r="WNG30" s="66"/>
      <c r="WNH30" s="66"/>
      <c r="WNI30" s="66"/>
      <c r="WNJ30" s="66"/>
      <c r="WNK30" s="66"/>
      <c r="WNL30" s="66"/>
      <c r="WNM30" s="66"/>
      <c r="WNN30" s="66"/>
      <c r="WNO30" s="66"/>
      <c r="WNP30" s="66"/>
      <c r="WNQ30" s="66"/>
      <c r="WNR30" s="66"/>
      <c r="WNS30" s="66"/>
      <c r="WNT30" s="66"/>
      <c r="WNU30" s="66"/>
      <c r="WNV30" s="66"/>
      <c r="WNW30" s="66"/>
      <c r="WNX30" s="66"/>
      <c r="WNY30" s="66"/>
      <c r="WNZ30" s="66"/>
      <c r="WOA30" s="66"/>
      <c r="WOB30" s="66"/>
      <c r="WOC30" s="66"/>
      <c r="WOD30" s="66"/>
      <c r="WOE30" s="66"/>
      <c r="WOF30" s="66"/>
      <c r="WOG30" s="66"/>
      <c r="WOH30" s="66"/>
      <c r="WOI30" s="66"/>
      <c r="WOJ30" s="66"/>
      <c r="WOK30" s="66"/>
      <c r="WOL30" s="66"/>
      <c r="WOM30" s="66"/>
      <c r="WON30" s="66"/>
      <c r="WOO30" s="66"/>
      <c r="WOP30" s="66"/>
      <c r="WOQ30" s="66"/>
      <c r="WOR30" s="66"/>
      <c r="WOS30" s="66"/>
      <c r="WOT30" s="66"/>
      <c r="WOU30" s="66"/>
      <c r="WOV30" s="66"/>
      <c r="WOW30" s="66"/>
      <c r="WOX30" s="66"/>
      <c r="WOY30" s="66"/>
      <c r="WOZ30" s="66"/>
      <c r="WPA30" s="66"/>
      <c r="WPB30" s="66"/>
      <c r="WPC30" s="66"/>
      <c r="WPD30" s="66"/>
      <c r="WPE30" s="66"/>
      <c r="WPF30" s="66"/>
      <c r="WPG30" s="66"/>
      <c r="WPH30" s="66"/>
      <c r="WPI30" s="66"/>
      <c r="WPJ30" s="66"/>
      <c r="WPK30" s="66"/>
      <c r="WPL30" s="66"/>
      <c r="WPM30" s="66"/>
      <c r="WPN30" s="66"/>
      <c r="WPO30" s="66"/>
      <c r="WPP30" s="66"/>
      <c r="WPQ30" s="66"/>
      <c r="WPR30" s="66"/>
      <c r="WPS30" s="66"/>
      <c r="WPT30" s="66"/>
      <c r="WPU30" s="66"/>
      <c r="WPV30" s="66"/>
      <c r="WPW30" s="66"/>
      <c r="WPX30" s="66"/>
      <c r="WPY30" s="66"/>
      <c r="WPZ30" s="66"/>
      <c r="WQA30" s="66"/>
      <c r="WQB30" s="66"/>
      <c r="WQC30" s="66"/>
      <c r="WQD30" s="66"/>
      <c r="WQE30" s="66"/>
      <c r="WQF30" s="66"/>
      <c r="WQG30" s="66"/>
      <c r="WQH30" s="66"/>
      <c r="WQI30" s="66"/>
      <c r="WQJ30" s="66"/>
      <c r="WQK30" s="66"/>
      <c r="WQL30" s="66"/>
      <c r="WQM30" s="66"/>
      <c r="WQN30" s="66"/>
      <c r="WQO30" s="66"/>
      <c r="WQP30" s="66"/>
      <c r="WQQ30" s="66"/>
      <c r="WQR30" s="66"/>
      <c r="WQS30" s="66"/>
      <c r="WQT30" s="66"/>
      <c r="WQU30" s="66"/>
      <c r="WQV30" s="66"/>
      <c r="WQW30" s="66"/>
      <c r="WQX30" s="66"/>
      <c r="WQY30" s="66"/>
      <c r="WQZ30" s="66"/>
      <c r="WRA30" s="66"/>
      <c r="WRB30" s="66"/>
      <c r="WRC30" s="66"/>
      <c r="WRD30" s="66"/>
      <c r="WRE30" s="66"/>
      <c r="WRF30" s="66"/>
      <c r="WRG30" s="66"/>
      <c r="WRH30" s="66"/>
      <c r="WRI30" s="66"/>
      <c r="WRJ30" s="66"/>
      <c r="WRK30" s="66"/>
      <c r="WRL30" s="66"/>
      <c r="WRM30" s="66"/>
      <c r="WRN30" s="66"/>
      <c r="WRO30" s="66"/>
      <c r="WRP30" s="66"/>
      <c r="WRQ30" s="66"/>
      <c r="WRR30" s="66"/>
      <c r="WRS30" s="66"/>
      <c r="WRT30" s="66"/>
      <c r="WRU30" s="66"/>
      <c r="WRV30" s="66"/>
      <c r="WRW30" s="66"/>
      <c r="WRX30" s="66"/>
      <c r="WRY30" s="66"/>
      <c r="WRZ30" s="66"/>
      <c r="WSA30" s="66"/>
      <c r="WSB30" s="66"/>
      <c r="WSC30" s="66"/>
      <c r="WSD30" s="66"/>
      <c r="WSE30" s="66"/>
      <c r="WSF30" s="66"/>
      <c r="WSG30" s="66"/>
      <c r="WSH30" s="66"/>
      <c r="WSI30" s="66"/>
      <c r="WSJ30" s="66"/>
      <c r="WSK30" s="66"/>
      <c r="WSL30" s="66"/>
      <c r="WSM30" s="66"/>
      <c r="WSN30" s="66"/>
      <c r="WSO30" s="66"/>
      <c r="WSP30" s="66"/>
      <c r="WSQ30" s="66"/>
      <c r="WSR30" s="66"/>
      <c r="WSS30" s="66"/>
      <c r="WST30" s="66"/>
      <c r="WSU30" s="66"/>
      <c r="WSV30" s="66"/>
      <c r="WSW30" s="66"/>
      <c r="WSX30" s="66"/>
      <c r="WSY30" s="66"/>
      <c r="WSZ30" s="66"/>
      <c r="WTA30" s="66"/>
      <c r="WTB30" s="66"/>
      <c r="WTC30" s="66"/>
      <c r="WTD30" s="66"/>
      <c r="WTE30" s="66"/>
      <c r="WTF30" s="66"/>
      <c r="WTG30" s="66"/>
      <c r="WTH30" s="66"/>
      <c r="WTI30" s="66"/>
      <c r="WTJ30" s="66"/>
      <c r="WTK30" s="66"/>
      <c r="WTL30" s="66"/>
      <c r="WTM30" s="66"/>
      <c r="WTN30" s="66"/>
      <c r="WTO30" s="66"/>
      <c r="WTP30" s="66"/>
      <c r="WTQ30" s="66"/>
      <c r="WTR30" s="66"/>
      <c r="WTS30" s="66"/>
      <c r="WTT30" s="66"/>
      <c r="WTU30" s="66"/>
      <c r="WTV30" s="66"/>
      <c r="WTW30" s="66"/>
      <c r="WTX30" s="66"/>
      <c r="WTY30" s="66"/>
      <c r="WTZ30" s="66"/>
      <c r="WUA30" s="66"/>
      <c r="WUB30" s="66"/>
      <c r="WUC30" s="66"/>
      <c r="WUD30" s="66"/>
      <c r="WUE30" s="66"/>
      <c r="WUF30" s="66"/>
      <c r="WUG30" s="66"/>
      <c r="WUH30" s="66"/>
      <c r="WUI30" s="66"/>
      <c r="WUJ30" s="66"/>
      <c r="WUK30" s="66"/>
      <c r="WUL30" s="66"/>
      <c r="WUM30" s="66"/>
      <c r="WUN30" s="66"/>
      <c r="WUO30" s="66"/>
      <c r="WUP30" s="66"/>
      <c r="WUQ30" s="66"/>
      <c r="WUR30" s="66"/>
      <c r="WUS30" s="66"/>
      <c r="WUT30" s="66"/>
      <c r="WUU30" s="66"/>
      <c r="WUV30" s="66"/>
      <c r="WUW30" s="66"/>
      <c r="WUX30" s="66"/>
      <c r="WUY30" s="66"/>
      <c r="WUZ30" s="66"/>
      <c r="WVA30" s="66"/>
      <c r="WVB30" s="66"/>
      <c r="WVC30" s="66"/>
      <c r="WVD30" s="66"/>
      <c r="WVE30" s="66"/>
      <c r="WVF30" s="66"/>
      <c r="WVG30" s="66"/>
      <c r="WVH30" s="66"/>
      <c r="WVI30" s="66"/>
      <c r="WVJ30" s="66"/>
      <c r="WVK30" s="66"/>
      <c r="WVL30" s="66"/>
      <c r="WVM30" s="66"/>
      <c r="WVN30" s="66"/>
      <c r="WVO30" s="66"/>
      <c r="WVP30" s="66"/>
      <c r="WVQ30" s="66"/>
      <c r="WVR30" s="66"/>
      <c r="WVS30" s="66"/>
      <c r="WVT30" s="66"/>
      <c r="WVU30" s="66"/>
      <c r="WVV30" s="66"/>
      <c r="WVW30" s="66"/>
      <c r="WVX30" s="66"/>
      <c r="WVY30" s="66"/>
      <c r="WVZ30" s="66"/>
      <c r="WWA30" s="66"/>
      <c r="WWB30" s="66"/>
      <c r="WWC30" s="66"/>
      <c r="WWD30" s="66"/>
      <c r="WWE30" s="66"/>
      <c r="WWF30" s="66"/>
      <c r="WWG30" s="66"/>
      <c r="WWH30" s="66"/>
      <c r="WWI30" s="66"/>
      <c r="WWJ30" s="66"/>
      <c r="WWK30" s="66"/>
      <c r="WWL30" s="66"/>
      <c r="WWM30" s="66"/>
      <c r="WWN30" s="66"/>
      <c r="WWO30" s="66"/>
      <c r="WWP30" s="66"/>
      <c r="WWQ30" s="66"/>
      <c r="WWR30" s="66"/>
      <c r="WWS30" s="66"/>
      <c r="WWT30" s="66"/>
      <c r="WWU30" s="66"/>
      <c r="WWV30" s="66"/>
      <c r="WWW30" s="66"/>
      <c r="WWX30" s="66"/>
      <c r="WWY30" s="66"/>
      <c r="WWZ30" s="66"/>
      <c r="WXA30" s="66"/>
      <c r="WXB30" s="66"/>
      <c r="WXC30" s="66"/>
      <c r="WXD30" s="66"/>
      <c r="WXE30" s="66"/>
      <c r="WXF30" s="66"/>
      <c r="WXG30" s="66"/>
      <c r="WXH30" s="66"/>
      <c r="WXI30" s="66"/>
      <c r="WXJ30" s="66"/>
      <c r="WXK30" s="66"/>
      <c r="WXL30" s="66"/>
      <c r="WXM30" s="66"/>
      <c r="WXN30" s="66"/>
      <c r="WXO30" s="66"/>
      <c r="WXP30" s="66"/>
      <c r="WXQ30" s="66"/>
      <c r="WXR30" s="66"/>
      <c r="WXS30" s="66"/>
      <c r="WXT30" s="66"/>
      <c r="WXU30" s="66"/>
      <c r="WXV30" s="66"/>
      <c r="WXW30" s="66"/>
      <c r="WXX30" s="66"/>
      <c r="WXY30" s="66"/>
      <c r="WXZ30" s="66"/>
      <c r="WYA30" s="66"/>
      <c r="WYB30" s="66"/>
      <c r="WYC30" s="66"/>
      <c r="WYD30" s="66"/>
      <c r="WYE30" s="66"/>
      <c r="WYF30" s="66"/>
      <c r="WYG30" s="66"/>
      <c r="WYH30" s="66"/>
      <c r="WYI30" s="66"/>
      <c r="WYJ30" s="66"/>
      <c r="WYK30" s="66"/>
      <c r="WYL30" s="66"/>
      <c r="WYM30" s="66"/>
      <c r="WYN30" s="66"/>
      <c r="WYO30" s="66"/>
      <c r="WYP30" s="66"/>
      <c r="WYQ30" s="66"/>
      <c r="WYR30" s="66"/>
      <c r="WYS30" s="66"/>
      <c r="WYT30" s="66"/>
      <c r="WYU30" s="66"/>
      <c r="WYV30" s="66"/>
      <c r="WYW30" s="66"/>
      <c r="WYX30" s="66"/>
      <c r="WYY30" s="66"/>
      <c r="WYZ30" s="66"/>
      <c r="WZA30" s="66"/>
      <c r="WZB30" s="66"/>
      <c r="WZC30" s="66"/>
      <c r="WZD30" s="66"/>
      <c r="WZE30" s="66"/>
      <c r="WZF30" s="66"/>
      <c r="WZG30" s="66"/>
      <c r="WZH30" s="66"/>
      <c r="WZI30" s="66"/>
      <c r="WZJ30" s="66"/>
      <c r="WZK30" s="66"/>
      <c r="WZL30" s="66"/>
      <c r="WZM30" s="66"/>
      <c r="WZN30" s="66"/>
      <c r="WZO30" s="66"/>
      <c r="WZP30" s="66"/>
      <c r="WZQ30" s="66"/>
      <c r="WZR30" s="66"/>
      <c r="WZS30" s="66"/>
      <c r="WZT30" s="66"/>
      <c r="WZU30" s="66"/>
      <c r="WZV30" s="66"/>
      <c r="WZW30" s="66"/>
      <c r="WZX30" s="66"/>
      <c r="WZY30" s="66"/>
      <c r="WZZ30" s="66"/>
      <c r="XAA30" s="66"/>
      <c r="XAB30" s="66"/>
      <c r="XAC30" s="66"/>
      <c r="XAD30" s="66"/>
      <c r="XAE30" s="66"/>
      <c r="XAF30" s="66"/>
      <c r="XAG30" s="66"/>
      <c r="XAH30" s="66"/>
      <c r="XAI30" s="66"/>
      <c r="XAJ30" s="66"/>
      <c r="XAK30" s="66"/>
      <c r="XAL30" s="66"/>
      <c r="XAM30" s="66"/>
      <c r="XAN30" s="66"/>
      <c r="XAO30" s="66"/>
      <c r="XAP30" s="66"/>
      <c r="XAQ30" s="66"/>
      <c r="XAR30" s="66"/>
      <c r="XAS30" s="66"/>
      <c r="XAT30" s="66"/>
      <c r="XAU30" s="66"/>
      <c r="XAV30" s="66"/>
      <c r="XAW30" s="66"/>
      <c r="XAX30" s="66"/>
      <c r="XAY30" s="66"/>
      <c r="XAZ30" s="66"/>
      <c r="XBA30" s="66"/>
      <c r="XBB30" s="66"/>
      <c r="XBC30" s="66"/>
      <c r="XBD30" s="66"/>
      <c r="XBE30" s="66"/>
      <c r="XBF30" s="66"/>
      <c r="XBG30" s="66"/>
      <c r="XBH30" s="66"/>
      <c r="XBI30" s="66"/>
      <c r="XBJ30" s="66"/>
      <c r="XBK30" s="66"/>
      <c r="XBL30" s="66"/>
      <c r="XBM30" s="66"/>
      <c r="XBN30" s="66"/>
      <c r="XBO30" s="66"/>
      <c r="XBP30" s="66"/>
      <c r="XBQ30" s="66"/>
      <c r="XBR30" s="66"/>
      <c r="XBS30" s="66"/>
      <c r="XBT30" s="66"/>
      <c r="XBU30" s="66"/>
      <c r="XBV30" s="66"/>
      <c r="XBW30" s="66"/>
      <c r="XBX30" s="66"/>
      <c r="XBY30" s="66"/>
      <c r="XBZ30" s="66"/>
      <c r="XCA30" s="66"/>
      <c r="XCB30" s="66"/>
      <c r="XCC30" s="66"/>
      <c r="XCD30" s="66"/>
      <c r="XCE30" s="66"/>
      <c r="XCF30" s="66"/>
      <c r="XCG30" s="66"/>
      <c r="XCH30" s="66"/>
      <c r="XCI30" s="66"/>
      <c r="XCJ30" s="66"/>
      <c r="XCK30" s="66"/>
      <c r="XCL30" s="66"/>
      <c r="XCM30" s="66"/>
      <c r="XCN30" s="66"/>
      <c r="XCO30" s="66"/>
      <c r="XCP30" s="66"/>
      <c r="XCQ30" s="66"/>
      <c r="XCR30" s="66"/>
      <c r="XCS30" s="66"/>
      <c r="XCT30" s="66"/>
      <c r="XCU30" s="66"/>
      <c r="XCV30" s="66"/>
      <c r="XCW30" s="66"/>
      <c r="XCX30" s="66"/>
      <c r="XCY30" s="66"/>
      <c r="XCZ30" s="66"/>
      <c r="XDA30" s="66"/>
      <c r="XDB30" s="66"/>
      <c r="XDC30" s="66"/>
      <c r="XDD30" s="66"/>
      <c r="XDE30" s="66"/>
      <c r="XDF30" s="66"/>
      <c r="XDG30" s="66"/>
      <c r="XDH30" s="66"/>
      <c r="XDI30" s="66"/>
      <c r="XDJ30" s="66"/>
      <c r="XDK30" s="66"/>
      <c r="XDL30" s="66"/>
      <c r="XDM30" s="66"/>
      <c r="XDN30" s="66"/>
      <c r="XDO30" s="66"/>
      <c r="XDP30" s="66"/>
      <c r="XDQ30" s="66"/>
      <c r="XDR30" s="66"/>
      <c r="XDS30" s="66"/>
      <c r="XDT30" s="66"/>
      <c r="XDU30" s="66"/>
      <c r="XDV30" s="66"/>
      <c r="XDW30" s="66"/>
      <c r="XDX30" s="66"/>
      <c r="XDY30" s="66"/>
      <c r="XDZ30" s="66"/>
      <c r="XEA30" s="66"/>
      <c r="XEB30" s="66"/>
      <c r="XEC30" s="66"/>
      <c r="XED30" s="66"/>
      <c r="XEE30" s="66"/>
      <c r="XEF30" s="66"/>
      <c r="XEG30" s="66"/>
      <c r="XEH30" s="66"/>
      <c r="XEI30" s="66"/>
      <c r="XEJ30" s="66"/>
      <c r="XEK30" s="66"/>
      <c r="XEL30" s="66"/>
      <c r="XEM30" s="66"/>
      <c r="XEN30" s="66"/>
      <c r="XEO30" s="66"/>
      <c r="XEP30" s="66"/>
      <c r="XEQ30" s="66"/>
      <c r="XER30" s="66"/>
      <c r="XES30" s="66"/>
      <c r="XET30" s="66"/>
      <c r="XEU30" s="66"/>
      <c r="XEV30" s="66"/>
      <c r="XEW30" s="66"/>
      <c r="XEX30" s="66"/>
      <c r="XEY30" s="66"/>
      <c r="XEZ30" s="66"/>
      <c r="XFA30" s="66"/>
      <c r="XFB30" s="66"/>
    </row>
    <row r="31" spans="1:50 15692:16382" s="66" customFormat="1" ht="14.4" thickBot="1" x14ac:dyDescent="0.35">
      <c r="A31" s="64"/>
      <c r="B31" s="64"/>
      <c r="C31" s="64"/>
      <c r="D31" s="64"/>
      <c r="E31" s="64"/>
      <c r="F31" s="64"/>
      <c r="G31" s="64"/>
      <c r="H31" s="64"/>
      <c r="I31" s="64"/>
      <c r="M31" s="88"/>
      <c r="P31" s="63"/>
      <c r="T31" s="92" t="s">
        <v>794</v>
      </c>
      <c r="U31" s="93">
        <f>SUM(U25:U29)</f>
        <v>36554879.741379306</v>
      </c>
      <c r="V31" s="93">
        <f>SUM(V25:V28)</f>
        <v>52122739.141283527</v>
      </c>
      <c r="W31" s="93">
        <f>V31-U31</f>
        <v>15567859.399904221</v>
      </c>
      <c r="X31" s="94"/>
    </row>
    <row r="32" spans="1:50 15692:16382" s="66" customFormat="1" ht="14.4" thickTop="1" x14ac:dyDescent="0.3">
      <c r="A32" s="64"/>
      <c r="B32" s="64"/>
      <c r="C32" s="64"/>
      <c r="D32" s="64"/>
      <c r="E32" s="64"/>
      <c r="F32" s="64"/>
      <c r="G32" s="64"/>
      <c r="H32" s="64"/>
      <c r="I32" s="64"/>
      <c r="M32" s="88"/>
      <c r="O32" s="95"/>
      <c r="P32" s="96"/>
      <c r="Q32" s="96"/>
      <c r="R32" s="96"/>
      <c r="S32" s="96"/>
      <c r="T32" s="97"/>
      <c r="U32" s="97"/>
      <c r="V32" s="97"/>
      <c r="W32" s="98"/>
      <c r="X32" s="99"/>
    </row>
    <row r="33" spans="1:25" s="66" customFormat="1" x14ac:dyDescent="0.3">
      <c r="A33" s="64"/>
      <c r="B33" s="64"/>
      <c r="C33" s="64"/>
      <c r="D33" s="64"/>
      <c r="E33" s="64"/>
      <c r="F33" s="64"/>
      <c r="G33" s="64"/>
      <c r="H33" s="64"/>
      <c r="I33" s="64"/>
      <c r="M33" s="100"/>
      <c r="O33" s="95"/>
      <c r="P33" s="96"/>
      <c r="Q33" s="96"/>
      <c r="R33" s="96"/>
      <c r="S33" s="96"/>
      <c r="T33" s="97"/>
      <c r="U33" s="97"/>
      <c r="V33" s="97"/>
      <c r="W33" s="98"/>
      <c r="X33" s="99"/>
    </row>
    <row r="34" spans="1:25" s="66" customFormat="1" ht="12" x14ac:dyDescent="0.3">
      <c r="M34" s="88"/>
    </row>
    <row r="35" spans="1:25" s="66" customFormat="1" ht="12" x14ac:dyDescent="0.3">
      <c r="M35" s="88"/>
      <c r="U35" s="88"/>
      <c r="V35" s="101" t="s">
        <v>795</v>
      </c>
      <c r="W35" s="101" t="s">
        <v>796</v>
      </c>
    </row>
    <row r="36" spans="1:25" s="66" customFormat="1" ht="12" x14ac:dyDescent="0.3">
      <c r="U36" s="102" t="s">
        <v>797</v>
      </c>
      <c r="V36" s="72">
        <f>V31</f>
        <v>52122739.141283527</v>
      </c>
      <c r="W36" s="77">
        <f>V36/1.48</f>
        <v>35218066.987353735</v>
      </c>
    </row>
    <row r="37" spans="1:25" s="66" customFormat="1" ht="12" x14ac:dyDescent="0.3">
      <c r="U37" s="102" t="s">
        <v>798</v>
      </c>
      <c r="V37" s="72">
        <f>U31</f>
        <v>36554879.741379306</v>
      </c>
      <c r="W37" s="77">
        <f>V37/1.48</f>
        <v>24699243.068499532</v>
      </c>
    </row>
    <row r="38" spans="1:25" s="66" customFormat="1" ht="12" x14ac:dyDescent="0.3">
      <c r="H38" s="103"/>
      <c r="U38" s="102" t="s">
        <v>779</v>
      </c>
      <c r="V38" s="72">
        <f>V36-V37</f>
        <v>15567859.399904221</v>
      </c>
      <c r="W38" s="72">
        <f>W36-W37</f>
        <v>10518823.918854203</v>
      </c>
    </row>
    <row r="39" spans="1:25" s="66" customFormat="1" ht="12" x14ac:dyDescent="0.3">
      <c r="U39" s="104" t="s">
        <v>799</v>
      </c>
      <c r="V39" s="105">
        <f>V38/V36</f>
        <v>0.29867692405240048</v>
      </c>
      <c r="W39" s="105">
        <f>W38/W36</f>
        <v>0.29867692405240043</v>
      </c>
    </row>
    <row r="40" spans="1:25" s="66" customFormat="1" x14ac:dyDescent="0.3">
      <c r="U40" s="106"/>
      <c r="V40" s="106"/>
      <c r="W40" s="63"/>
    </row>
    <row r="41" spans="1:25" s="66" customFormat="1" ht="12" x14ac:dyDescent="0.3"/>
    <row r="42" spans="1:25" s="66" customFormat="1" ht="12" x14ac:dyDescent="0.3"/>
    <row r="43" spans="1:25" s="66" customFormat="1" ht="16.95" customHeight="1" x14ac:dyDescent="0.3">
      <c r="A43" s="62"/>
      <c r="B43" s="63"/>
      <c r="C43" s="63"/>
      <c r="D43" s="64"/>
      <c r="E43" s="64"/>
      <c r="F43" s="63"/>
      <c r="G43" s="63"/>
      <c r="H43" s="63"/>
      <c r="I43" s="63"/>
      <c r="J43" s="63"/>
      <c r="K43" s="63"/>
      <c r="L43" s="63"/>
      <c r="M43" s="63"/>
      <c r="N43" s="63"/>
      <c r="O43" s="63"/>
      <c r="P43" s="63"/>
      <c r="Q43" s="63"/>
      <c r="R43" s="63"/>
      <c r="S43" s="63"/>
      <c r="T43" s="63"/>
      <c r="U43" s="63"/>
      <c r="V43" s="63"/>
      <c r="W43" s="63"/>
      <c r="X43" s="63"/>
      <c r="Y43" s="63"/>
    </row>
    <row r="44" spans="1:25" s="66" customFormat="1" ht="12" x14ac:dyDescent="0.3"/>
    <row r="45" spans="1:25" x14ac:dyDescent="0.3">
      <c r="A45" s="66"/>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5"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row>
    <row r="47" spans="1:25" x14ac:dyDescent="0.3">
      <c r="A47" s="66"/>
      <c r="B47" s="66"/>
      <c r="C47" s="66"/>
      <c r="D47" s="66"/>
      <c r="E47" s="66"/>
      <c r="F47" s="66"/>
      <c r="G47" s="66"/>
      <c r="H47" s="66"/>
      <c r="I47" s="66"/>
      <c r="J47" s="66"/>
      <c r="K47" s="66"/>
      <c r="L47" s="66"/>
      <c r="M47" s="66"/>
      <c r="N47" s="66"/>
      <c r="O47" s="66"/>
      <c r="P47" s="66"/>
      <c r="Q47" s="66"/>
      <c r="R47" s="66"/>
      <c r="S47" s="66"/>
      <c r="T47" s="66"/>
      <c r="U47" s="66"/>
      <c r="V47" s="66"/>
      <c r="W47" s="66"/>
      <c r="X47" s="66"/>
      <c r="Y47" s="66"/>
    </row>
    <row r="48" spans="1:25" x14ac:dyDescent="0.3">
      <c r="A48" s="66"/>
      <c r="B48" s="66"/>
      <c r="C48" s="66"/>
      <c r="D48" s="66"/>
      <c r="E48" s="66"/>
      <c r="F48" s="66"/>
      <c r="G48" s="66"/>
      <c r="H48" s="66"/>
      <c r="I48" s="66"/>
      <c r="J48" s="66"/>
      <c r="K48" s="66"/>
      <c r="L48" s="66"/>
      <c r="M48" s="66"/>
      <c r="N48" s="66"/>
      <c r="O48" s="66"/>
      <c r="P48" s="66"/>
      <c r="Q48" s="66"/>
      <c r="R48" s="66"/>
      <c r="S48" s="66"/>
      <c r="T48" s="66"/>
      <c r="U48" s="66"/>
      <c r="V48" s="66"/>
      <c r="W48" s="66"/>
      <c r="X48" s="66"/>
      <c r="Y48" s="66"/>
    </row>
    <row r="49" spans="1:25" x14ac:dyDescent="0.3">
      <c r="A49" s="66"/>
      <c r="B49" s="66"/>
      <c r="C49" s="66"/>
      <c r="D49" s="66"/>
      <c r="E49" s="66"/>
      <c r="F49" s="66"/>
      <c r="G49" s="66"/>
      <c r="H49" s="66"/>
      <c r="I49" s="66"/>
      <c r="J49" s="66"/>
      <c r="K49" s="66"/>
      <c r="L49" s="66"/>
      <c r="M49" s="66"/>
      <c r="N49" s="66"/>
      <c r="O49" s="66"/>
      <c r="P49" s="66"/>
      <c r="Q49" s="66"/>
      <c r="R49" s="66"/>
      <c r="S49" s="66"/>
      <c r="T49" s="66"/>
      <c r="U49" s="66"/>
      <c r="V49" s="66"/>
      <c r="W49" s="66"/>
      <c r="X49" s="66"/>
      <c r="Y49" s="66"/>
    </row>
    <row r="50" spans="1:25" x14ac:dyDescent="0.3">
      <c r="A50" s="66"/>
      <c r="B50" s="66"/>
      <c r="C50" s="66"/>
      <c r="D50" s="66"/>
      <c r="E50" s="66"/>
      <c r="F50" s="66"/>
      <c r="G50" s="66"/>
      <c r="H50" s="66"/>
      <c r="I50" s="66"/>
      <c r="J50" s="66"/>
      <c r="K50" s="66"/>
      <c r="L50" s="66"/>
      <c r="M50" s="66"/>
      <c r="N50" s="66"/>
      <c r="O50" s="66"/>
      <c r="P50" s="66"/>
      <c r="Q50" s="66"/>
      <c r="R50" s="66"/>
      <c r="S50" s="66"/>
      <c r="T50" s="66"/>
      <c r="U50" s="66"/>
      <c r="V50" s="66"/>
      <c r="W50" s="66"/>
      <c r="X50" s="66"/>
      <c r="Y50" s="66"/>
    </row>
    <row r="51" spans="1:25" x14ac:dyDescent="0.3">
      <c r="A51" s="66"/>
      <c r="B51" s="66"/>
      <c r="C51" s="66"/>
      <c r="D51" s="66"/>
      <c r="E51" s="66"/>
      <c r="F51" s="66"/>
      <c r="G51" s="66"/>
      <c r="H51" s="66"/>
      <c r="I51" s="66"/>
      <c r="J51" s="66"/>
      <c r="K51" s="66"/>
      <c r="L51" s="66"/>
      <c r="M51" s="66"/>
      <c r="N51" s="66"/>
      <c r="O51" s="66"/>
      <c r="P51" s="66"/>
      <c r="Q51" s="66"/>
      <c r="R51" s="66"/>
      <c r="S51" s="66"/>
      <c r="T51" s="66"/>
      <c r="U51" s="66"/>
      <c r="V51" s="66"/>
      <c r="W51" s="66"/>
      <c r="X51" s="66"/>
      <c r="Y51" s="66"/>
    </row>
    <row r="52" spans="1:25" x14ac:dyDescent="0.3">
      <c r="A52" s="66"/>
      <c r="B52" s="66"/>
      <c r="C52" s="66"/>
      <c r="D52" s="66"/>
      <c r="E52" s="66"/>
      <c r="F52" s="66"/>
      <c r="G52" s="66"/>
      <c r="H52" s="66"/>
      <c r="I52" s="66"/>
      <c r="J52" s="66"/>
      <c r="K52" s="66"/>
      <c r="L52" s="66"/>
      <c r="M52" s="66"/>
      <c r="N52" s="66"/>
      <c r="O52" s="66"/>
      <c r="P52" s="66"/>
      <c r="Q52" s="66"/>
      <c r="R52" s="66"/>
      <c r="S52" s="66"/>
      <c r="T52" s="66"/>
      <c r="U52" s="66"/>
      <c r="V52" s="66"/>
      <c r="W52" s="66"/>
      <c r="X52" s="66"/>
      <c r="Y52" s="66"/>
    </row>
    <row r="53" spans="1:25" x14ac:dyDescent="0.3">
      <c r="A53" s="66"/>
      <c r="B53" s="66"/>
      <c r="C53" s="66"/>
      <c r="D53" s="66"/>
      <c r="E53" s="66"/>
      <c r="F53" s="66"/>
      <c r="G53" s="66"/>
      <c r="H53" s="66"/>
      <c r="I53" s="66"/>
      <c r="J53" s="66"/>
      <c r="K53" s="66"/>
      <c r="L53" s="66"/>
      <c r="M53" s="66"/>
      <c r="N53" s="66"/>
      <c r="O53" s="66"/>
      <c r="P53" s="66"/>
      <c r="Q53" s="66"/>
      <c r="R53" s="66"/>
      <c r="S53" s="66"/>
      <c r="T53" s="66"/>
      <c r="U53" s="66"/>
      <c r="V53" s="66"/>
      <c r="W53" s="66"/>
      <c r="X53" s="66"/>
      <c r="Y53" s="66"/>
    </row>
    <row r="54" spans="1:25" x14ac:dyDescent="0.3">
      <c r="A54" s="66"/>
      <c r="B54" s="66"/>
      <c r="C54" s="66"/>
      <c r="D54" s="66"/>
      <c r="E54" s="66"/>
      <c r="F54" s="66"/>
      <c r="G54" s="66"/>
      <c r="H54" s="66"/>
      <c r="I54" s="66"/>
      <c r="J54" s="66"/>
      <c r="K54" s="66"/>
      <c r="L54" s="66"/>
      <c r="M54" s="66"/>
      <c r="N54" s="66"/>
      <c r="O54" s="66"/>
      <c r="P54" s="66"/>
      <c r="Q54" s="66"/>
      <c r="R54" s="66"/>
      <c r="S54" s="66"/>
      <c r="T54" s="66"/>
      <c r="U54" s="66"/>
      <c r="V54" s="66"/>
      <c r="W54" s="66"/>
      <c r="X54" s="66"/>
      <c r="Y54" s="66"/>
    </row>
    <row r="55" spans="1:25" x14ac:dyDescent="0.3">
      <c r="A55" s="66"/>
      <c r="B55" s="66"/>
      <c r="C55" s="66"/>
      <c r="D55" s="66"/>
      <c r="E55" s="66"/>
      <c r="F55" s="66"/>
      <c r="G55" s="66"/>
      <c r="H55" s="66"/>
      <c r="I55" s="66"/>
      <c r="J55" s="66"/>
      <c r="K55" s="66"/>
      <c r="L55" s="66"/>
      <c r="M55" s="66"/>
      <c r="N55" s="66"/>
      <c r="O55" s="66"/>
      <c r="P55" s="66"/>
      <c r="Q55" s="66"/>
      <c r="R55" s="66"/>
      <c r="S55" s="66"/>
      <c r="T55" s="66"/>
      <c r="U55" s="66"/>
      <c r="V55" s="66"/>
      <c r="W55" s="66"/>
      <c r="X55" s="66"/>
      <c r="Y55" s="66"/>
    </row>
    <row r="56" spans="1:25" x14ac:dyDescent="0.3">
      <c r="A56" s="66"/>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5" x14ac:dyDescent="0.3">
      <c r="A57" s="66"/>
      <c r="B57" s="66"/>
      <c r="C57" s="66"/>
      <c r="D57" s="66"/>
      <c r="E57" s="66"/>
      <c r="F57" s="66"/>
      <c r="G57" s="66"/>
      <c r="H57" s="66"/>
      <c r="I57" s="66"/>
      <c r="J57" s="66"/>
      <c r="K57" s="66"/>
      <c r="L57" s="66"/>
      <c r="M57" s="66"/>
      <c r="N57" s="66"/>
      <c r="O57" s="66"/>
      <c r="P57" s="66"/>
      <c r="Q57" s="66"/>
      <c r="R57" s="66"/>
      <c r="S57" s="66"/>
      <c r="T57" s="66"/>
      <c r="U57" s="66"/>
      <c r="V57" s="66"/>
      <c r="W57" s="66"/>
      <c r="X57" s="66"/>
      <c r="Y57" s="66"/>
    </row>
    <row r="58" spans="1:25" x14ac:dyDescent="0.3">
      <c r="A58" s="66"/>
      <c r="B58" s="66"/>
      <c r="C58" s="66"/>
      <c r="D58" s="66"/>
      <c r="E58" s="66"/>
      <c r="F58" s="66"/>
      <c r="G58" s="66"/>
      <c r="H58" s="66"/>
      <c r="I58" s="66"/>
      <c r="J58" s="66"/>
      <c r="K58" s="66"/>
      <c r="L58" s="66"/>
      <c r="M58" s="66"/>
      <c r="N58" s="66"/>
      <c r="O58" s="66"/>
      <c r="P58" s="66"/>
      <c r="Q58" s="66"/>
      <c r="R58" s="66"/>
      <c r="S58" s="66"/>
      <c r="T58" s="66"/>
      <c r="U58" s="66"/>
      <c r="V58" s="66"/>
      <c r="W58" s="66"/>
      <c r="X58" s="66"/>
      <c r="Y58" s="66"/>
    </row>
    <row r="59" spans="1:25" x14ac:dyDescent="0.3">
      <c r="A59" s="66"/>
      <c r="B59" s="66"/>
      <c r="C59" s="66"/>
      <c r="D59" s="66"/>
      <c r="E59" s="66"/>
      <c r="F59" s="66"/>
      <c r="G59" s="66"/>
      <c r="H59" s="66"/>
      <c r="I59" s="66"/>
      <c r="J59" s="66"/>
      <c r="K59" s="66"/>
      <c r="L59" s="66"/>
      <c r="M59" s="66"/>
      <c r="N59" s="66"/>
      <c r="O59" s="66"/>
      <c r="P59" s="66"/>
      <c r="Q59" s="66"/>
      <c r="R59" s="66"/>
      <c r="S59" s="66"/>
      <c r="T59" s="66"/>
      <c r="U59" s="66"/>
      <c r="V59" s="66"/>
      <c r="W59" s="66"/>
      <c r="X59" s="66"/>
      <c r="Y59" s="66"/>
    </row>
    <row r="60" spans="1:25" x14ac:dyDescent="0.3">
      <c r="A60" s="66"/>
      <c r="B60" s="66"/>
      <c r="C60" s="66"/>
      <c r="D60" s="66"/>
      <c r="E60" s="66"/>
      <c r="F60" s="66"/>
      <c r="G60" s="66"/>
      <c r="H60" s="66"/>
      <c r="I60" s="66"/>
      <c r="J60" s="66"/>
      <c r="K60" s="66"/>
      <c r="L60" s="66"/>
      <c r="M60" s="66"/>
      <c r="N60" s="66"/>
      <c r="O60" s="66"/>
      <c r="P60" s="66"/>
      <c r="Q60" s="66"/>
      <c r="R60" s="66"/>
      <c r="S60" s="66"/>
      <c r="T60" s="66"/>
      <c r="U60" s="66"/>
      <c r="V60" s="66"/>
      <c r="W60" s="66"/>
      <c r="X60" s="66"/>
      <c r="Y60" s="66"/>
    </row>
    <row r="61" spans="1:25" x14ac:dyDescent="0.3">
      <c r="A61" s="66"/>
      <c r="B61" s="66"/>
      <c r="C61" s="66"/>
      <c r="D61" s="66"/>
      <c r="E61" s="66"/>
      <c r="F61" s="66"/>
      <c r="G61" s="66"/>
      <c r="H61" s="66"/>
      <c r="I61" s="66"/>
      <c r="J61" s="66"/>
      <c r="K61" s="66"/>
      <c r="L61" s="66"/>
      <c r="M61" s="66"/>
      <c r="N61" s="66"/>
      <c r="O61" s="66"/>
      <c r="P61" s="66"/>
      <c r="Q61" s="66"/>
      <c r="R61" s="66"/>
      <c r="S61" s="66"/>
      <c r="T61" s="66"/>
      <c r="U61" s="66"/>
      <c r="V61" s="66"/>
      <c r="W61" s="66"/>
      <c r="X61" s="66"/>
      <c r="Y61" s="66"/>
    </row>
    <row r="62" spans="1:25" x14ac:dyDescent="0.3">
      <c r="A62" s="66"/>
      <c r="B62" s="66"/>
      <c r="C62" s="66"/>
      <c r="D62" s="66"/>
      <c r="E62" s="66"/>
      <c r="F62" s="66"/>
      <c r="G62" s="66"/>
      <c r="H62" s="66"/>
      <c r="I62" s="66"/>
      <c r="J62" s="66"/>
      <c r="K62" s="66"/>
      <c r="L62" s="66"/>
      <c r="M62" s="66"/>
      <c r="N62" s="66"/>
      <c r="O62" s="66"/>
      <c r="P62" s="66"/>
      <c r="Q62" s="66"/>
      <c r="R62" s="66"/>
      <c r="S62" s="66"/>
      <c r="T62" s="66"/>
      <c r="U62" s="66"/>
      <c r="V62" s="66"/>
      <c r="W62" s="66"/>
      <c r="X62" s="66"/>
      <c r="Y62" s="66"/>
    </row>
    <row r="63" spans="1:25" x14ac:dyDescent="0.3">
      <c r="A63" s="66"/>
      <c r="B63" s="66"/>
      <c r="C63" s="66"/>
      <c r="D63" s="66"/>
      <c r="E63" s="66"/>
      <c r="F63" s="66"/>
      <c r="G63" s="66"/>
      <c r="H63" s="66"/>
      <c r="I63" s="66"/>
      <c r="J63" s="66"/>
      <c r="K63" s="66"/>
      <c r="L63" s="66"/>
      <c r="M63" s="66"/>
      <c r="N63" s="66"/>
      <c r="O63" s="66"/>
      <c r="P63" s="66"/>
      <c r="Q63" s="66"/>
      <c r="R63" s="66"/>
      <c r="S63" s="66"/>
      <c r="T63" s="66"/>
      <c r="U63" s="66"/>
      <c r="V63" s="66"/>
      <c r="W63" s="66"/>
      <c r="X63" s="66"/>
      <c r="Y63" s="66"/>
    </row>
    <row r="64" spans="1:25" x14ac:dyDescent="0.3">
      <c r="A64" s="66"/>
      <c r="B64" s="66"/>
      <c r="C64" s="66"/>
      <c r="D64" s="66"/>
      <c r="E64" s="66"/>
      <c r="F64" s="66"/>
      <c r="G64" s="66"/>
      <c r="H64" s="66"/>
      <c r="I64" s="66"/>
      <c r="J64" s="66"/>
      <c r="K64" s="66"/>
      <c r="L64" s="66"/>
      <c r="M64" s="66"/>
      <c r="N64" s="66"/>
      <c r="O64" s="66"/>
      <c r="P64" s="66"/>
      <c r="Q64" s="66"/>
      <c r="R64" s="66"/>
      <c r="S64" s="66"/>
      <c r="T64" s="66"/>
      <c r="U64" s="66"/>
      <c r="V64" s="66"/>
      <c r="W64" s="66"/>
      <c r="X64" s="66"/>
      <c r="Y64" s="66"/>
    </row>
    <row r="65" spans="1:25" x14ac:dyDescent="0.3">
      <c r="A65" s="66"/>
      <c r="B65" s="66"/>
      <c r="C65" s="66"/>
      <c r="D65" s="66"/>
      <c r="E65" s="66"/>
      <c r="F65" s="66"/>
      <c r="G65" s="66"/>
      <c r="H65" s="66"/>
      <c r="I65" s="66"/>
      <c r="J65" s="66"/>
      <c r="K65" s="66"/>
      <c r="L65" s="66"/>
      <c r="M65" s="66"/>
      <c r="N65" s="66"/>
      <c r="O65" s="66"/>
      <c r="P65" s="66"/>
      <c r="Q65" s="66"/>
      <c r="R65" s="66"/>
      <c r="S65" s="66"/>
      <c r="T65" s="66"/>
      <c r="U65" s="66"/>
      <c r="V65" s="66"/>
      <c r="W65" s="66"/>
      <c r="X65" s="66"/>
      <c r="Y65" s="66"/>
    </row>
    <row r="66" spans="1:25" x14ac:dyDescent="0.3">
      <c r="A66" s="66"/>
      <c r="B66" s="66"/>
      <c r="C66" s="66"/>
      <c r="D66" s="66"/>
      <c r="E66" s="66"/>
      <c r="F66" s="66"/>
      <c r="G66" s="66"/>
      <c r="H66" s="66"/>
      <c r="I66" s="66"/>
      <c r="J66" s="66"/>
      <c r="K66" s="66"/>
      <c r="L66" s="66"/>
      <c r="M66" s="66"/>
      <c r="N66" s="66"/>
      <c r="O66" s="66"/>
      <c r="P66" s="66"/>
      <c r="Q66" s="66"/>
      <c r="R66" s="66"/>
      <c r="S66" s="66"/>
      <c r="T66" s="66"/>
      <c r="U66" s="66"/>
      <c r="V66" s="66"/>
      <c r="W66" s="66"/>
      <c r="X66" s="66"/>
      <c r="Y66" s="66"/>
    </row>
    <row r="67" spans="1:25" x14ac:dyDescent="0.3">
      <c r="A67" s="66"/>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5" x14ac:dyDescent="0.3">
      <c r="A68" s="66"/>
      <c r="B68" s="66"/>
      <c r="C68" s="66"/>
      <c r="D68" s="66"/>
      <c r="E68" s="66"/>
      <c r="F68" s="66"/>
      <c r="G68" s="66"/>
      <c r="H68" s="66"/>
      <c r="I68" s="66"/>
      <c r="J68" s="66"/>
      <c r="K68" s="66"/>
      <c r="L68" s="66"/>
      <c r="M68" s="66"/>
      <c r="N68" s="66"/>
      <c r="O68" s="66"/>
      <c r="P68" s="66"/>
      <c r="Q68" s="66"/>
      <c r="R68" s="66"/>
      <c r="S68" s="66"/>
      <c r="T68" s="66"/>
      <c r="U68" s="66"/>
      <c r="V68" s="66"/>
      <c r="W68" s="66"/>
      <c r="X68" s="66"/>
      <c r="Y68" s="66"/>
    </row>
    <row r="69" spans="1:25" x14ac:dyDescent="0.3">
      <c r="A69" s="66"/>
      <c r="B69" s="66"/>
      <c r="C69" s="66"/>
      <c r="D69" s="66"/>
      <c r="E69" s="66"/>
      <c r="F69" s="66"/>
      <c r="G69" s="66"/>
      <c r="H69" s="66"/>
      <c r="I69" s="66"/>
      <c r="J69" s="66"/>
      <c r="K69" s="66"/>
      <c r="L69" s="66"/>
      <c r="M69" s="66"/>
      <c r="N69" s="66"/>
      <c r="O69" s="66"/>
      <c r="P69" s="66"/>
      <c r="Q69" s="66"/>
      <c r="R69" s="66"/>
      <c r="S69" s="66"/>
      <c r="T69" s="66"/>
      <c r="U69" s="66"/>
      <c r="V69" s="66"/>
      <c r="W69" s="66"/>
      <c r="X69" s="66"/>
      <c r="Y69" s="66"/>
    </row>
    <row r="70" spans="1:25" x14ac:dyDescent="0.3">
      <c r="A70" s="66"/>
      <c r="B70" s="66"/>
      <c r="C70" s="66"/>
      <c r="D70" s="66"/>
      <c r="E70" s="66"/>
      <c r="F70" s="66"/>
      <c r="G70" s="66"/>
      <c r="H70" s="66"/>
      <c r="I70" s="66"/>
      <c r="J70" s="66"/>
      <c r="K70" s="66"/>
      <c r="L70" s="66"/>
      <c r="M70" s="66"/>
      <c r="N70" s="66"/>
      <c r="O70" s="66"/>
      <c r="P70" s="66"/>
      <c r="Q70" s="66"/>
      <c r="R70" s="66"/>
      <c r="S70" s="66"/>
      <c r="T70" s="66"/>
      <c r="U70" s="66"/>
      <c r="V70" s="66"/>
      <c r="W70" s="66"/>
      <c r="X70" s="66"/>
      <c r="Y70" s="66"/>
    </row>
    <row r="71" spans="1:25" x14ac:dyDescent="0.3">
      <c r="A71" s="66"/>
      <c r="B71" s="66"/>
      <c r="C71" s="66"/>
      <c r="D71" s="66"/>
      <c r="E71" s="66"/>
      <c r="F71" s="66"/>
      <c r="G71" s="66"/>
      <c r="H71" s="66"/>
      <c r="I71" s="66"/>
      <c r="J71" s="66"/>
      <c r="K71" s="66"/>
      <c r="L71" s="66"/>
      <c r="M71" s="66"/>
      <c r="N71" s="66"/>
      <c r="O71" s="66"/>
      <c r="P71" s="66"/>
      <c r="Q71" s="66"/>
      <c r="R71" s="66"/>
      <c r="S71" s="66"/>
      <c r="T71" s="66"/>
      <c r="U71" s="66"/>
      <c r="V71" s="66"/>
      <c r="W71" s="66"/>
      <c r="X71" s="66"/>
      <c r="Y71" s="66"/>
    </row>
    <row r="72" spans="1:25" x14ac:dyDescent="0.3">
      <c r="A72" s="66"/>
      <c r="B72" s="66"/>
      <c r="C72" s="66"/>
      <c r="D72" s="66"/>
      <c r="E72" s="66"/>
      <c r="F72" s="66"/>
      <c r="G72" s="66"/>
      <c r="H72" s="66"/>
      <c r="I72" s="66"/>
      <c r="J72" s="66"/>
      <c r="K72" s="66"/>
      <c r="L72" s="66"/>
      <c r="M72" s="66"/>
      <c r="N72" s="66"/>
      <c r="O72" s="66"/>
      <c r="P72" s="66"/>
      <c r="Q72" s="66"/>
      <c r="R72" s="66"/>
      <c r="S72" s="66"/>
      <c r="T72" s="66"/>
      <c r="U72" s="66"/>
      <c r="V72" s="66"/>
      <c r="W72" s="66"/>
      <c r="X72" s="66"/>
      <c r="Y72" s="66"/>
    </row>
    <row r="73" spans="1:25" x14ac:dyDescent="0.3">
      <c r="A73" s="66"/>
      <c r="B73" s="66"/>
      <c r="C73" s="66"/>
      <c r="D73" s="66"/>
      <c r="E73" s="66"/>
      <c r="F73" s="66"/>
      <c r="G73" s="66"/>
      <c r="H73" s="66"/>
      <c r="I73" s="66"/>
      <c r="J73" s="66"/>
      <c r="K73" s="66"/>
      <c r="L73" s="66"/>
      <c r="M73" s="66"/>
      <c r="N73" s="66"/>
      <c r="O73" s="66"/>
      <c r="P73" s="66"/>
      <c r="Q73" s="66"/>
      <c r="R73" s="66"/>
      <c r="S73" s="66"/>
      <c r="T73" s="66"/>
      <c r="U73" s="66"/>
      <c r="V73" s="66"/>
      <c r="W73" s="66"/>
      <c r="X73" s="66"/>
      <c r="Y73" s="66"/>
    </row>
    <row r="74" spans="1:25" x14ac:dyDescent="0.3">
      <c r="A74" s="66"/>
      <c r="B74" s="66"/>
      <c r="C74" s="66"/>
      <c r="D74" s="66"/>
      <c r="E74" s="66"/>
      <c r="F74" s="66"/>
      <c r="G74" s="66"/>
      <c r="H74" s="66"/>
      <c r="I74" s="66"/>
      <c r="J74" s="66"/>
      <c r="K74" s="66"/>
      <c r="L74" s="66"/>
      <c r="M74" s="66"/>
      <c r="N74" s="66"/>
      <c r="O74" s="66"/>
      <c r="P74" s="66"/>
      <c r="Q74" s="66"/>
      <c r="R74" s="66"/>
      <c r="S74" s="66"/>
      <c r="T74" s="66"/>
      <c r="U74" s="66"/>
      <c r="V74" s="66"/>
      <c r="W74" s="66"/>
      <c r="X74" s="66"/>
      <c r="Y74" s="66"/>
    </row>
    <row r="75" spans="1:25" x14ac:dyDescent="0.3">
      <c r="A75" s="66"/>
      <c r="B75" s="66"/>
      <c r="C75" s="66"/>
      <c r="D75" s="66"/>
      <c r="E75" s="66"/>
      <c r="F75" s="66"/>
      <c r="G75" s="66"/>
      <c r="H75" s="66"/>
      <c r="I75" s="66"/>
      <c r="J75" s="66"/>
      <c r="K75" s="66"/>
      <c r="L75" s="66"/>
      <c r="M75" s="66"/>
      <c r="N75" s="66"/>
      <c r="O75" s="66"/>
      <c r="P75" s="66"/>
      <c r="Q75" s="66"/>
      <c r="R75" s="66"/>
      <c r="S75" s="66"/>
      <c r="T75" s="66"/>
      <c r="U75" s="66"/>
      <c r="V75" s="66"/>
      <c r="W75" s="66"/>
      <c r="X75" s="66"/>
      <c r="Y75" s="66"/>
    </row>
    <row r="76" spans="1:25" x14ac:dyDescent="0.3">
      <c r="A76" s="66"/>
      <c r="B76" s="66"/>
      <c r="C76" s="66"/>
      <c r="D76" s="66"/>
      <c r="E76" s="66"/>
      <c r="F76" s="66"/>
      <c r="G76" s="66"/>
      <c r="H76" s="66"/>
      <c r="I76" s="66"/>
      <c r="J76" s="66"/>
      <c r="K76" s="66"/>
      <c r="L76" s="66"/>
      <c r="M76" s="66"/>
      <c r="N76" s="66"/>
      <c r="O76" s="66"/>
      <c r="P76" s="66"/>
      <c r="Q76" s="66"/>
      <c r="R76" s="66"/>
      <c r="S76" s="66"/>
      <c r="T76" s="66"/>
      <c r="U76" s="66"/>
      <c r="V76" s="66"/>
      <c r="W76" s="66"/>
      <c r="X76" s="66"/>
      <c r="Y76" s="66"/>
    </row>
    <row r="77" spans="1:25" x14ac:dyDescent="0.3">
      <c r="A77" s="66"/>
      <c r="B77" s="66"/>
      <c r="C77" s="66"/>
      <c r="D77" s="66"/>
      <c r="E77" s="66"/>
      <c r="F77" s="66"/>
      <c r="G77" s="66"/>
      <c r="H77" s="66"/>
      <c r="I77" s="66"/>
      <c r="J77" s="66"/>
      <c r="K77" s="66"/>
      <c r="L77" s="66"/>
      <c r="M77" s="66"/>
      <c r="N77" s="66"/>
      <c r="O77" s="66"/>
      <c r="P77" s="66"/>
      <c r="Q77" s="66"/>
      <c r="R77" s="66"/>
      <c r="S77" s="66"/>
      <c r="T77" s="66"/>
      <c r="U77" s="66"/>
      <c r="V77" s="66"/>
      <c r="W77" s="66"/>
      <c r="X77" s="66"/>
      <c r="Y77" s="66"/>
    </row>
    <row r="78" spans="1:25" x14ac:dyDescent="0.3">
      <c r="A78" s="66"/>
      <c r="B78" s="66"/>
      <c r="C78" s="66"/>
      <c r="D78" s="66"/>
      <c r="E78" s="66"/>
      <c r="F78" s="66"/>
      <c r="G78" s="66"/>
      <c r="H78" s="66"/>
      <c r="I78" s="66"/>
      <c r="J78" s="66"/>
      <c r="K78" s="66"/>
      <c r="L78" s="66"/>
      <c r="M78" s="66"/>
      <c r="N78" s="66"/>
      <c r="O78" s="66"/>
      <c r="P78" s="66"/>
      <c r="Q78" s="66"/>
      <c r="R78" s="66"/>
      <c r="S78" s="66"/>
      <c r="T78" s="66"/>
      <c r="U78" s="66"/>
      <c r="V78" s="66"/>
      <c r="W78" s="66"/>
      <c r="X78" s="66"/>
      <c r="Y78" s="66"/>
    </row>
    <row r="79" spans="1:25" x14ac:dyDescent="0.3">
      <c r="A79" s="66"/>
      <c r="B79" s="66"/>
      <c r="C79" s="66"/>
      <c r="D79" s="66"/>
      <c r="E79" s="66"/>
      <c r="F79" s="66"/>
      <c r="G79" s="66"/>
      <c r="H79" s="66"/>
      <c r="I79" s="66"/>
      <c r="J79" s="66"/>
      <c r="K79" s="66"/>
      <c r="L79" s="66"/>
      <c r="M79" s="66"/>
      <c r="N79" s="66"/>
      <c r="O79" s="66"/>
      <c r="P79" s="66"/>
      <c r="Q79" s="66"/>
      <c r="R79" s="66"/>
      <c r="S79" s="66"/>
      <c r="T79" s="66"/>
      <c r="U79" s="66"/>
      <c r="V79" s="66"/>
      <c r="W79" s="66"/>
      <c r="X79" s="66"/>
      <c r="Y79" s="66"/>
    </row>
    <row r="80" spans="1:25" x14ac:dyDescent="0.3">
      <c r="A80" s="66"/>
      <c r="B80" s="66"/>
      <c r="C80" s="66"/>
      <c r="D80" s="66"/>
      <c r="E80" s="66"/>
      <c r="F80" s="66"/>
      <c r="G80" s="66"/>
      <c r="H80" s="66"/>
      <c r="I80" s="66"/>
      <c r="J80" s="66"/>
      <c r="K80" s="66"/>
      <c r="L80" s="66"/>
      <c r="M80" s="66"/>
      <c r="N80" s="66"/>
      <c r="O80" s="66"/>
      <c r="P80" s="66"/>
      <c r="Q80" s="66"/>
      <c r="R80" s="66"/>
      <c r="S80" s="66"/>
      <c r="T80" s="66"/>
      <c r="U80" s="66"/>
      <c r="V80" s="66"/>
      <c r="W80" s="66"/>
      <c r="X80" s="66"/>
      <c r="Y80" s="66"/>
    </row>
    <row r="81" spans="1:25" x14ac:dyDescent="0.3">
      <c r="A81" s="66"/>
      <c r="B81" s="66"/>
      <c r="C81" s="66"/>
      <c r="D81" s="66"/>
      <c r="E81" s="66"/>
      <c r="F81" s="66"/>
      <c r="G81" s="66"/>
      <c r="H81" s="66"/>
      <c r="I81" s="66"/>
      <c r="J81" s="66"/>
      <c r="K81" s="66"/>
      <c r="L81" s="66"/>
      <c r="M81" s="66"/>
      <c r="N81" s="66"/>
      <c r="O81" s="66"/>
      <c r="P81" s="66"/>
      <c r="Q81" s="66"/>
      <c r="R81" s="66"/>
      <c r="S81" s="66"/>
      <c r="T81" s="66"/>
      <c r="U81" s="66"/>
      <c r="V81" s="66"/>
      <c r="W81" s="66"/>
      <c r="X81" s="66"/>
      <c r="Y81" s="66"/>
    </row>
    <row r="82" spans="1:25" x14ac:dyDescent="0.3">
      <c r="A82" s="66"/>
      <c r="B82" s="66"/>
      <c r="C82" s="66"/>
      <c r="D82" s="66"/>
      <c r="E82" s="66"/>
      <c r="F82" s="66"/>
      <c r="G82" s="66"/>
      <c r="H82" s="66"/>
      <c r="I82" s="66"/>
      <c r="J82" s="66"/>
      <c r="K82" s="66"/>
      <c r="L82" s="66"/>
      <c r="M82" s="66"/>
      <c r="N82" s="66"/>
      <c r="O82" s="66"/>
      <c r="P82" s="66"/>
      <c r="Q82" s="66"/>
      <c r="R82" s="66"/>
      <c r="S82" s="66"/>
      <c r="T82" s="66"/>
      <c r="U82" s="66"/>
      <c r="V82" s="66"/>
      <c r="W82" s="66"/>
      <c r="X82" s="66"/>
      <c r="Y82" s="66"/>
    </row>
    <row r="83" spans="1:25" x14ac:dyDescent="0.3">
      <c r="A83" s="66"/>
      <c r="B83" s="66"/>
      <c r="C83" s="66"/>
      <c r="D83" s="66"/>
      <c r="E83" s="66"/>
      <c r="F83" s="66"/>
      <c r="G83" s="66"/>
      <c r="H83" s="66"/>
      <c r="I83" s="66"/>
      <c r="J83" s="66"/>
      <c r="K83" s="66"/>
      <c r="L83" s="66"/>
      <c r="M83" s="66"/>
      <c r="N83" s="66"/>
      <c r="O83" s="66"/>
      <c r="P83" s="66"/>
      <c r="Q83" s="66"/>
      <c r="R83" s="66"/>
      <c r="S83" s="66"/>
      <c r="T83" s="66"/>
      <c r="U83" s="66"/>
      <c r="V83" s="66"/>
      <c r="W83" s="66"/>
      <c r="X83" s="66"/>
      <c r="Y83" s="66"/>
    </row>
    <row r="84" spans="1:25" x14ac:dyDescent="0.3">
      <c r="A84" s="66"/>
      <c r="B84" s="66"/>
      <c r="C84" s="66"/>
      <c r="D84" s="66"/>
      <c r="E84" s="66"/>
      <c r="F84" s="66"/>
      <c r="G84" s="66"/>
      <c r="H84" s="66"/>
      <c r="I84" s="66"/>
      <c r="J84" s="66"/>
      <c r="K84" s="66"/>
      <c r="L84" s="66"/>
      <c r="M84" s="66"/>
      <c r="N84" s="66"/>
      <c r="O84" s="66"/>
      <c r="P84" s="66"/>
      <c r="Q84" s="66"/>
      <c r="R84" s="66"/>
      <c r="S84" s="66"/>
      <c r="T84" s="66"/>
      <c r="U84" s="66"/>
      <c r="V84" s="66"/>
      <c r="W84" s="66"/>
      <c r="X84" s="66"/>
      <c r="Y84" s="66"/>
    </row>
    <row r="85" spans="1:25" x14ac:dyDescent="0.3">
      <c r="A85" s="66"/>
      <c r="B85" s="66"/>
      <c r="C85" s="66"/>
      <c r="D85" s="66"/>
      <c r="E85" s="66"/>
      <c r="F85" s="66"/>
      <c r="G85" s="66"/>
      <c r="H85" s="66"/>
      <c r="I85" s="66"/>
      <c r="J85" s="66"/>
      <c r="K85" s="66"/>
      <c r="L85" s="66"/>
      <c r="M85" s="66"/>
      <c r="N85" s="66"/>
      <c r="O85" s="66"/>
      <c r="P85" s="66"/>
      <c r="Q85" s="66"/>
      <c r="R85" s="66"/>
      <c r="S85" s="66"/>
      <c r="T85" s="66"/>
      <c r="U85" s="66"/>
      <c r="V85" s="66"/>
      <c r="W85" s="66"/>
      <c r="X85" s="66"/>
      <c r="Y85" s="66"/>
    </row>
    <row r="86" spans="1:25" x14ac:dyDescent="0.3">
      <c r="A86" s="66"/>
      <c r="B86" s="66"/>
      <c r="C86" s="66"/>
      <c r="D86" s="66"/>
      <c r="E86" s="66"/>
      <c r="F86" s="66"/>
      <c r="G86" s="66"/>
      <c r="H86" s="66"/>
      <c r="I86" s="66"/>
      <c r="J86" s="66"/>
      <c r="K86" s="66"/>
      <c r="L86" s="66"/>
      <c r="M86" s="66"/>
      <c r="N86" s="66"/>
      <c r="O86" s="66"/>
      <c r="P86" s="66"/>
      <c r="Q86" s="66"/>
      <c r="R86" s="66"/>
      <c r="S86" s="66"/>
      <c r="T86" s="66"/>
      <c r="U86" s="66"/>
      <c r="V86" s="66"/>
      <c r="W86" s="66"/>
      <c r="X86" s="66"/>
      <c r="Y86" s="66"/>
    </row>
    <row r="87" spans="1:25" x14ac:dyDescent="0.3">
      <c r="A87" s="66"/>
      <c r="B87" s="66"/>
      <c r="C87" s="66"/>
      <c r="D87" s="66"/>
      <c r="E87" s="66"/>
      <c r="F87" s="66"/>
      <c r="G87" s="66"/>
      <c r="H87" s="66"/>
      <c r="I87" s="66"/>
      <c r="J87" s="66"/>
      <c r="K87" s="66"/>
      <c r="L87" s="66"/>
      <c r="M87" s="66"/>
      <c r="N87" s="66"/>
      <c r="O87" s="66"/>
      <c r="P87" s="66"/>
      <c r="Q87" s="66"/>
      <c r="R87" s="66"/>
      <c r="S87" s="66"/>
      <c r="T87" s="66"/>
      <c r="U87" s="66"/>
      <c r="V87" s="66"/>
      <c r="W87" s="66"/>
      <c r="X87" s="66"/>
      <c r="Y87" s="66"/>
    </row>
    <row r="88" spans="1:25" x14ac:dyDescent="0.3">
      <c r="A88" s="66"/>
      <c r="B88" s="66"/>
      <c r="C88" s="66"/>
      <c r="D88" s="66"/>
      <c r="E88" s="66"/>
      <c r="F88" s="66"/>
      <c r="G88" s="66"/>
      <c r="H88" s="66"/>
      <c r="I88" s="66"/>
      <c r="J88" s="66"/>
      <c r="K88" s="66"/>
      <c r="L88" s="66"/>
      <c r="M88" s="66"/>
      <c r="N88" s="66"/>
      <c r="O88" s="66"/>
      <c r="P88" s="66"/>
      <c r="Q88" s="66"/>
      <c r="R88" s="66"/>
      <c r="S88" s="66"/>
      <c r="T88" s="66"/>
      <c r="U88" s="66"/>
      <c r="V88" s="66"/>
      <c r="W88" s="66"/>
      <c r="X88" s="66"/>
      <c r="Y88" s="66"/>
    </row>
    <row r="89" spans="1:25"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row>
    <row r="90" spans="1:25" x14ac:dyDescent="0.3">
      <c r="A90" s="66"/>
      <c r="B90" s="66"/>
      <c r="C90" s="66"/>
      <c r="D90" s="66"/>
      <c r="E90" s="66"/>
      <c r="F90" s="66"/>
      <c r="G90" s="66"/>
      <c r="H90" s="66"/>
      <c r="I90" s="66"/>
      <c r="J90" s="66"/>
      <c r="K90" s="66"/>
      <c r="L90" s="66"/>
      <c r="M90" s="66"/>
      <c r="N90" s="66"/>
      <c r="O90" s="66"/>
      <c r="P90" s="66"/>
      <c r="Q90" s="66"/>
      <c r="R90" s="66"/>
      <c r="S90" s="66"/>
      <c r="T90" s="66"/>
      <c r="U90" s="66"/>
      <c r="V90" s="66"/>
      <c r="W90" s="66"/>
      <c r="X90" s="66"/>
      <c r="Y90" s="66"/>
    </row>
    <row r="91" spans="1:25" x14ac:dyDescent="0.3">
      <c r="A91" s="66"/>
      <c r="B91" s="66"/>
      <c r="C91" s="66"/>
      <c r="D91" s="66"/>
      <c r="E91" s="66"/>
      <c r="F91" s="66"/>
      <c r="G91" s="66"/>
      <c r="H91" s="66"/>
      <c r="I91" s="66"/>
      <c r="J91" s="66"/>
      <c r="K91" s="66"/>
      <c r="L91" s="66"/>
      <c r="M91" s="66"/>
      <c r="N91" s="66"/>
      <c r="O91" s="66"/>
      <c r="P91" s="66"/>
      <c r="Q91" s="66"/>
      <c r="R91" s="66"/>
      <c r="S91" s="66"/>
      <c r="T91" s="66"/>
      <c r="U91" s="66"/>
      <c r="V91" s="66"/>
      <c r="W91" s="66"/>
      <c r="X91" s="66"/>
      <c r="Y91" s="66"/>
    </row>
    <row r="92" spans="1:25" x14ac:dyDescent="0.3">
      <c r="A92" s="66"/>
      <c r="B92" s="66"/>
      <c r="C92" s="66"/>
      <c r="D92" s="66"/>
      <c r="E92" s="66"/>
      <c r="F92" s="66"/>
      <c r="G92" s="66"/>
      <c r="H92" s="66"/>
      <c r="I92" s="66"/>
      <c r="J92" s="66"/>
      <c r="K92" s="66"/>
      <c r="L92" s="66"/>
      <c r="M92" s="66"/>
      <c r="N92" s="66"/>
      <c r="O92" s="66"/>
      <c r="P92" s="66"/>
      <c r="Q92" s="66"/>
      <c r="R92" s="66"/>
      <c r="S92" s="66"/>
      <c r="T92" s="66"/>
      <c r="U92" s="66"/>
      <c r="V92" s="66"/>
      <c r="W92" s="66"/>
      <c r="X92" s="66"/>
      <c r="Y92" s="66"/>
    </row>
    <row r="93" spans="1:25" x14ac:dyDescent="0.3">
      <c r="A93" s="66"/>
      <c r="B93" s="66"/>
      <c r="C93" s="66"/>
      <c r="D93" s="66"/>
      <c r="E93" s="66"/>
      <c r="F93" s="66"/>
      <c r="G93" s="66"/>
      <c r="H93" s="66"/>
      <c r="I93" s="66"/>
      <c r="J93" s="66"/>
      <c r="K93" s="66"/>
      <c r="L93" s="66"/>
      <c r="M93" s="66"/>
      <c r="N93" s="66"/>
      <c r="O93" s="66"/>
      <c r="P93" s="66"/>
      <c r="Q93" s="66"/>
      <c r="R93" s="66"/>
      <c r="S93" s="66"/>
      <c r="T93" s="66"/>
      <c r="U93" s="66"/>
      <c r="V93" s="66"/>
      <c r="W93" s="66"/>
      <c r="X93" s="66"/>
      <c r="Y93" s="66"/>
    </row>
    <row r="94" spans="1:25" x14ac:dyDescent="0.3">
      <c r="A94" s="66"/>
      <c r="B94" s="66"/>
      <c r="C94" s="66"/>
      <c r="D94" s="66"/>
      <c r="E94" s="66"/>
      <c r="F94" s="66"/>
      <c r="G94" s="66"/>
      <c r="H94" s="66"/>
      <c r="I94" s="66"/>
      <c r="J94" s="66"/>
      <c r="K94" s="66"/>
      <c r="L94" s="66"/>
      <c r="M94" s="66"/>
      <c r="N94" s="66"/>
      <c r="O94" s="66"/>
      <c r="P94" s="66"/>
      <c r="Q94" s="66"/>
      <c r="R94" s="66"/>
      <c r="S94" s="66"/>
      <c r="T94" s="66"/>
      <c r="U94" s="66"/>
      <c r="V94" s="66"/>
      <c r="W94" s="66"/>
      <c r="X94" s="66"/>
      <c r="Y94" s="66"/>
    </row>
    <row r="95" spans="1:25" x14ac:dyDescent="0.3">
      <c r="A95" s="66"/>
      <c r="B95" s="66"/>
      <c r="C95" s="66"/>
      <c r="D95" s="66"/>
      <c r="E95" s="66"/>
      <c r="F95" s="66"/>
      <c r="G95" s="66"/>
      <c r="H95" s="66"/>
      <c r="I95" s="66"/>
      <c r="J95" s="66"/>
      <c r="K95" s="66"/>
      <c r="L95" s="66"/>
      <c r="M95" s="66"/>
      <c r="N95" s="66"/>
      <c r="O95" s="66"/>
      <c r="P95" s="66"/>
      <c r="Q95" s="66"/>
      <c r="R95" s="66"/>
      <c r="S95" s="66"/>
      <c r="T95" s="66"/>
      <c r="U95" s="66"/>
      <c r="V95" s="66"/>
      <c r="W95" s="66"/>
      <c r="X95" s="66"/>
      <c r="Y95" s="66"/>
    </row>
    <row r="96" spans="1:25" x14ac:dyDescent="0.3">
      <c r="A96" s="66"/>
      <c r="B96" s="66"/>
      <c r="C96" s="66"/>
      <c r="D96" s="66"/>
      <c r="E96" s="66"/>
      <c r="F96" s="66"/>
      <c r="G96" s="66"/>
      <c r="H96" s="66"/>
      <c r="I96" s="66"/>
      <c r="J96" s="66"/>
      <c r="K96" s="66"/>
      <c r="L96" s="66"/>
      <c r="M96" s="66"/>
      <c r="N96" s="66"/>
      <c r="O96" s="66"/>
      <c r="P96" s="66"/>
      <c r="Q96" s="66"/>
      <c r="R96" s="66"/>
      <c r="S96" s="66"/>
      <c r="T96" s="66"/>
      <c r="U96" s="66"/>
      <c r="V96" s="66"/>
      <c r="W96" s="66"/>
      <c r="X96" s="66"/>
      <c r="Y96" s="66"/>
    </row>
    <row r="97" spans="1:25" x14ac:dyDescent="0.3">
      <c r="A97" s="66"/>
      <c r="B97" s="66"/>
      <c r="C97" s="66"/>
      <c r="D97" s="66"/>
      <c r="E97" s="66"/>
      <c r="F97" s="66"/>
      <c r="G97" s="66"/>
      <c r="H97" s="66"/>
      <c r="I97" s="66"/>
      <c r="J97" s="66"/>
      <c r="K97" s="66"/>
      <c r="L97" s="66"/>
      <c r="M97" s="66"/>
      <c r="N97" s="66"/>
      <c r="O97" s="66"/>
      <c r="P97" s="66"/>
      <c r="Q97" s="66"/>
      <c r="R97" s="66"/>
      <c r="S97" s="66"/>
      <c r="T97" s="66"/>
      <c r="U97" s="66"/>
      <c r="V97" s="66"/>
      <c r="W97" s="66"/>
      <c r="X97" s="66"/>
      <c r="Y97" s="66"/>
    </row>
    <row r="98" spans="1:25" x14ac:dyDescent="0.3">
      <c r="A98" s="66"/>
      <c r="B98" s="66"/>
      <c r="C98" s="66"/>
      <c r="D98" s="66"/>
      <c r="E98" s="66"/>
      <c r="F98" s="66"/>
      <c r="G98" s="66"/>
      <c r="H98" s="66"/>
      <c r="I98" s="66"/>
      <c r="J98" s="66"/>
      <c r="K98" s="66"/>
      <c r="L98" s="66"/>
      <c r="M98" s="66"/>
      <c r="N98" s="66"/>
      <c r="O98" s="66"/>
      <c r="P98" s="66"/>
      <c r="Q98" s="66"/>
      <c r="R98" s="66"/>
      <c r="S98" s="66"/>
      <c r="T98" s="66"/>
      <c r="U98" s="66"/>
      <c r="V98" s="66"/>
      <c r="W98" s="66"/>
      <c r="X98" s="66"/>
      <c r="Y98" s="66"/>
    </row>
    <row r="99" spans="1:25" x14ac:dyDescent="0.3">
      <c r="A99" s="66"/>
      <c r="B99" s="66"/>
      <c r="C99" s="66"/>
      <c r="D99" s="66"/>
      <c r="E99" s="66"/>
      <c r="F99" s="66"/>
      <c r="G99" s="66"/>
      <c r="H99" s="66"/>
      <c r="I99" s="66"/>
      <c r="J99" s="66"/>
      <c r="K99" s="66"/>
      <c r="L99" s="66"/>
      <c r="M99" s="66"/>
      <c r="N99" s="66"/>
      <c r="O99" s="66"/>
      <c r="P99" s="66"/>
      <c r="Q99" s="66"/>
      <c r="R99" s="66"/>
      <c r="S99" s="66"/>
      <c r="T99" s="66"/>
      <c r="U99" s="66"/>
      <c r="V99" s="66"/>
      <c r="W99" s="66"/>
      <c r="X99" s="66"/>
      <c r="Y99" s="66"/>
    </row>
    <row r="100" spans="1:25" x14ac:dyDescent="0.3">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row>
    <row r="101" spans="1:25" x14ac:dyDescent="0.3">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row>
    <row r="102" spans="1:25" x14ac:dyDescent="0.3">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row>
    <row r="103" spans="1:25" x14ac:dyDescent="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row>
    <row r="104" spans="1:25" x14ac:dyDescent="0.3">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row>
    <row r="105" spans="1:25" x14ac:dyDescent="0.3">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2667-D04D-4A8F-894D-896681329C61}">
  <dimension ref="A1:F69"/>
  <sheetViews>
    <sheetView topLeftCell="A63" workbookViewId="0">
      <selection activeCell="A63" sqref="A63"/>
    </sheetView>
  </sheetViews>
  <sheetFormatPr defaultColWidth="99.44140625" defaultRowHeight="14.4" x14ac:dyDescent="0.3"/>
  <cols>
    <col min="1" max="1" width="20.6640625" bestFit="1" customWidth="1"/>
    <col min="2" max="2" width="62" bestFit="1" customWidth="1"/>
    <col min="3" max="3" width="28.44140625" bestFit="1" customWidth="1"/>
    <col min="5" max="5" width="16.6640625" bestFit="1" customWidth="1"/>
    <col min="6" max="6" width="9.5546875" bestFit="1" customWidth="1"/>
  </cols>
  <sheetData>
    <row r="1" spans="1:6" ht="16.8" x14ac:dyDescent="0.3">
      <c r="A1" s="48" t="s">
        <v>101</v>
      </c>
      <c r="B1" s="49" t="s">
        <v>800</v>
      </c>
      <c r="C1" s="49" t="s">
        <v>801</v>
      </c>
      <c r="D1" s="48"/>
      <c r="E1" s="48" t="s">
        <v>802</v>
      </c>
      <c r="F1" s="48" t="s">
        <v>803</v>
      </c>
    </row>
    <row r="3" spans="1:6" ht="16.8" x14ac:dyDescent="0.3">
      <c r="A3" s="396" t="s">
        <v>804</v>
      </c>
      <c r="B3" s="49" t="s">
        <v>805</v>
      </c>
      <c r="C3" s="397" t="s">
        <v>806</v>
      </c>
      <c r="D3" s="48"/>
      <c r="E3" s="397" t="s">
        <v>807</v>
      </c>
      <c r="F3" s="48" t="s">
        <v>803</v>
      </c>
    </row>
    <row r="4" spans="1:6" ht="16.8" x14ac:dyDescent="0.3">
      <c r="A4" s="396"/>
      <c r="B4" s="49" t="s">
        <v>808</v>
      </c>
      <c r="C4" s="397"/>
      <c r="D4" s="48"/>
      <c r="E4" s="397"/>
      <c r="F4" s="48" t="s">
        <v>21</v>
      </c>
    </row>
    <row r="6" spans="1:6" x14ac:dyDescent="0.3">
      <c r="A6" s="47"/>
    </row>
    <row r="7" spans="1:6" x14ac:dyDescent="0.3">
      <c r="A7" t="s">
        <v>809</v>
      </c>
    </row>
    <row r="9" spans="1:6" x14ac:dyDescent="0.3">
      <c r="A9" s="50" t="s">
        <v>800</v>
      </c>
    </row>
    <row r="11" spans="1:6" x14ac:dyDescent="0.3">
      <c r="A11" t="s">
        <v>810</v>
      </c>
    </row>
    <row r="13" spans="1:6" x14ac:dyDescent="0.3">
      <c r="A13" s="50" t="s">
        <v>811</v>
      </c>
    </row>
    <row r="16" spans="1:6" x14ac:dyDescent="0.3">
      <c r="A16" t="s">
        <v>812</v>
      </c>
    </row>
    <row r="18" spans="1:1" x14ac:dyDescent="0.3">
      <c r="A18" s="50" t="s">
        <v>813</v>
      </c>
    </row>
    <row r="20" spans="1:1" x14ac:dyDescent="0.3">
      <c r="A20" t="s">
        <v>814</v>
      </c>
    </row>
    <row r="22" spans="1:1" x14ac:dyDescent="0.3">
      <c r="A22" t="s">
        <v>815</v>
      </c>
    </row>
    <row r="24" spans="1:1" x14ac:dyDescent="0.3">
      <c r="A24" t="s">
        <v>816</v>
      </c>
    </row>
    <row r="26" spans="1:1" x14ac:dyDescent="0.3">
      <c r="A26" t="s">
        <v>817</v>
      </c>
    </row>
    <row r="28" spans="1:1" x14ac:dyDescent="0.3">
      <c r="A28" t="s">
        <v>818</v>
      </c>
    </row>
    <row r="29" spans="1:1" x14ac:dyDescent="0.3">
      <c r="A29" t="s">
        <v>819</v>
      </c>
    </row>
    <row r="34" spans="1:6" x14ac:dyDescent="0.3">
      <c r="A34" t="s">
        <v>101</v>
      </c>
      <c r="B34" t="s">
        <v>800</v>
      </c>
      <c r="C34" t="s">
        <v>801</v>
      </c>
      <c r="D34" t="s">
        <v>820</v>
      </c>
      <c r="E34" t="s">
        <v>802</v>
      </c>
      <c r="F34" t="s">
        <v>803</v>
      </c>
    </row>
    <row r="35" spans="1:6" x14ac:dyDescent="0.3">
      <c r="A35" t="s">
        <v>820</v>
      </c>
    </row>
    <row r="36" spans="1:6" x14ac:dyDescent="0.3">
      <c r="A36" t="s">
        <v>820</v>
      </c>
    </row>
    <row r="37" spans="1:6" x14ac:dyDescent="0.3">
      <c r="A37" t="s">
        <v>820</v>
      </c>
    </row>
    <row r="39" spans="1:6" x14ac:dyDescent="0.3">
      <c r="A39" t="s">
        <v>820</v>
      </c>
    </row>
    <row r="40" spans="1:6" x14ac:dyDescent="0.3">
      <c r="A40" t="s">
        <v>804</v>
      </c>
      <c r="B40" t="s">
        <v>805</v>
      </c>
      <c r="C40" t="s">
        <v>806</v>
      </c>
      <c r="D40" t="s">
        <v>820</v>
      </c>
      <c r="E40" t="s">
        <v>807</v>
      </c>
      <c r="F40" t="s">
        <v>803</v>
      </c>
    </row>
    <row r="41" spans="1:6" x14ac:dyDescent="0.3">
      <c r="A41" t="s">
        <v>808</v>
      </c>
      <c r="B41" t="s">
        <v>820</v>
      </c>
      <c r="C41" t="s">
        <v>21</v>
      </c>
    </row>
    <row r="42" spans="1:6" x14ac:dyDescent="0.3">
      <c r="A42" t="s">
        <v>820</v>
      </c>
    </row>
    <row r="45" spans="1:6" x14ac:dyDescent="0.3">
      <c r="A45" t="s">
        <v>800</v>
      </c>
    </row>
    <row r="46" spans="1:6" x14ac:dyDescent="0.3">
      <c r="A46" t="s">
        <v>810</v>
      </c>
    </row>
    <row r="47" spans="1:6" x14ac:dyDescent="0.3">
      <c r="A47" t="s">
        <v>821</v>
      </c>
    </row>
    <row r="48" spans="1:6" x14ac:dyDescent="0.3">
      <c r="A48" t="s">
        <v>820</v>
      </c>
    </row>
    <row r="49" spans="1:1" x14ac:dyDescent="0.3">
      <c r="A49" t="s">
        <v>822</v>
      </c>
    </row>
    <row r="50" spans="1:1" x14ac:dyDescent="0.3">
      <c r="A50" t="s">
        <v>813</v>
      </c>
    </row>
    <row r="51" spans="1:1" x14ac:dyDescent="0.3">
      <c r="A51" t="s">
        <v>814</v>
      </c>
    </row>
    <row r="56" spans="1:1" x14ac:dyDescent="0.3">
      <c r="A56" t="s">
        <v>823</v>
      </c>
    </row>
    <row r="57" spans="1:1" x14ac:dyDescent="0.3">
      <c r="A57" t="s">
        <v>824</v>
      </c>
    </row>
    <row r="58" spans="1:1" x14ac:dyDescent="0.3">
      <c r="A58" t="s">
        <v>825</v>
      </c>
    </row>
    <row r="59" spans="1:1" x14ac:dyDescent="0.3">
      <c r="A59" t="s">
        <v>826</v>
      </c>
    </row>
    <row r="60" spans="1:1" x14ac:dyDescent="0.3">
      <c r="A60" t="s">
        <v>827</v>
      </c>
    </row>
    <row r="61" spans="1:1" x14ac:dyDescent="0.3">
      <c r="A61" t="s">
        <v>820</v>
      </c>
    </row>
    <row r="62" spans="1:1" x14ac:dyDescent="0.3">
      <c r="A62" t="s">
        <v>828</v>
      </c>
    </row>
    <row r="63" spans="1:1" x14ac:dyDescent="0.3">
      <c r="A63" t="s">
        <v>829</v>
      </c>
    </row>
    <row r="64" spans="1:1" x14ac:dyDescent="0.3">
      <c r="A64" t="s">
        <v>825</v>
      </c>
    </row>
    <row r="65" spans="1:1" x14ac:dyDescent="0.3">
      <c r="A65" t="s">
        <v>826</v>
      </c>
    </row>
    <row r="66" spans="1:1" x14ac:dyDescent="0.3">
      <c r="A66" t="s">
        <v>820</v>
      </c>
    </row>
    <row r="67" spans="1:1" x14ac:dyDescent="0.3">
      <c r="A67" t="s">
        <v>830</v>
      </c>
    </row>
    <row r="68" spans="1:1" x14ac:dyDescent="0.3">
      <c r="A68" t="s">
        <v>831</v>
      </c>
    </row>
    <row r="69" spans="1:1" x14ac:dyDescent="0.3">
      <c r="A69" t="s">
        <v>832</v>
      </c>
    </row>
  </sheetData>
  <mergeCells count="3">
    <mergeCell ref="A3:A4"/>
    <mergeCell ref="C3:C4"/>
    <mergeCell ref="E3:E4"/>
  </mergeCells>
  <hyperlinks>
    <hyperlink ref="B1" r:id="rId1" tooltip="https://cocacolaph-dev.outsystemsenterprise.com/cwt" display="https://cocacolaph-dev.outsystemsenterprise.com/CWT" xr:uid="{4868C338-5F7F-460A-B452-598636DBE0B5}"/>
    <hyperlink ref="C1" r:id="rId2" tooltip="mailto:c-chris.lugue@coca-cola.com.ph" display="mailto:c-chris.lugue@coca-cola.com.ph" xr:uid="{9924A48D-897D-4A2A-9FFD-157EE98EBDBD}"/>
    <hyperlink ref="B3" r:id="rId3" tooltip="https://cocacolaph-tst.outsystemsenterprise.com/caf_internal" xr:uid="{B3194922-29BC-4534-BA64-C8A3894CD181}"/>
    <hyperlink ref="C3" r:id="rId4" tooltip="mailto:caf_admin@cocacola.com" display="mailto:CAF_Admin@cocacola.com" xr:uid="{BFF11A9E-1216-4965-8B5A-16A915770855}"/>
    <hyperlink ref="E3" r:id="rId5" tooltip="mailto:p@ssw0rd123" display="mailto:P@ssw0rd123" xr:uid="{FFD7AF28-8D98-4342-9902-36AF95F6EC1D}"/>
    <hyperlink ref="B4" r:id="rId6" tooltip="https://cocacolaph-tst.outsystemsenterprise.com/customermanagement/" xr:uid="{9CF5338C-15CB-4F2F-ABD2-06746BE00709}"/>
    <hyperlink ref="A9" r:id="rId7" tooltip="https://cocacolaph-dev.outsystemsenterprise.com/cwt" display="https://cocacolaph-dev.outsystemsenterprise.com/CWT" xr:uid="{21ADAF61-F209-418C-BCB4-49F23F21548E}"/>
    <hyperlink ref="A13" r:id="rId8" tooltip="mailto:!coke@1044407" display="mailto:!Coke@1044407" xr:uid="{A1F3117B-413C-492E-B0A6-21CBFC829454}"/>
    <hyperlink ref="A18" r:id="rId9" tooltip="mailto:c-chethan.chandrashekhar@coca-cola.com.ph" display="mailto:c-chethan.chandrashekhar@coca-cola.com.ph" xr:uid="{28D43ABC-4C49-4D1D-9010-DADA3EA19918}"/>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259A-6848-4DA6-8D06-CA8DBC0507D3}">
  <dimension ref="A1:R31"/>
  <sheetViews>
    <sheetView topLeftCell="C28" workbookViewId="0">
      <selection activeCell="E31" sqref="E31:P31"/>
    </sheetView>
  </sheetViews>
  <sheetFormatPr defaultRowHeight="14.4" x14ac:dyDescent="0.3"/>
  <cols>
    <col min="1" max="1" width="7.109375" bestFit="1" customWidth="1"/>
    <col min="2" max="2" width="19.33203125" bestFit="1" customWidth="1"/>
    <col min="3" max="3" width="19.88671875" bestFit="1" customWidth="1"/>
    <col min="4" max="4" width="19" bestFit="1" customWidth="1"/>
    <col min="5" max="5" width="3.5546875" bestFit="1" customWidth="1"/>
    <col min="6" max="6" width="3.33203125" bestFit="1" customWidth="1"/>
    <col min="7" max="7" width="8.6640625" bestFit="1" customWidth="1"/>
    <col min="8" max="8" width="9.33203125" bestFit="1" customWidth="1"/>
    <col min="9" max="10" width="5.109375" bestFit="1" customWidth="1"/>
    <col min="11" max="11" width="8.6640625" bestFit="1" customWidth="1"/>
    <col min="12" max="12" width="11.88671875" bestFit="1" customWidth="1"/>
    <col min="13" max="13" width="4.44140625" bestFit="1" customWidth="1"/>
    <col min="14" max="14" width="12.109375" bestFit="1" customWidth="1"/>
    <col min="15" max="15" width="3.33203125" bestFit="1" customWidth="1"/>
    <col min="16" max="16" width="2.6640625" bestFit="1" customWidth="1"/>
    <col min="17" max="17" width="14" bestFit="1" customWidth="1"/>
    <col min="18" max="18" width="15" bestFit="1" customWidth="1"/>
  </cols>
  <sheetData>
    <row r="1" spans="1:18" ht="15" thickBot="1" x14ac:dyDescent="0.35">
      <c r="E1" s="36" t="s">
        <v>81</v>
      </c>
      <c r="F1" s="36" t="s">
        <v>61</v>
      </c>
      <c r="G1" s="36" t="s">
        <v>82</v>
      </c>
      <c r="H1" s="36" t="s">
        <v>83</v>
      </c>
      <c r="I1" s="36" t="s">
        <v>84</v>
      </c>
      <c r="J1" s="36" t="s">
        <v>85</v>
      </c>
      <c r="K1" s="36" t="s">
        <v>86</v>
      </c>
      <c r="L1" s="36" t="s">
        <v>87</v>
      </c>
      <c r="M1" s="36" t="s">
        <v>88</v>
      </c>
      <c r="N1" s="36" t="s">
        <v>89</v>
      </c>
      <c r="O1" s="36" t="s">
        <v>90</v>
      </c>
      <c r="P1" s="36" t="s">
        <v>91</v>
      </c>
      <c r="Q1" s="36" t="s">
        <v>92</v>
      </c>
      <c r="R1" s="36" t="s">
        <v>93</v>
      </c>
    </row>
    <row r="2" spans="1:18" x14ac:dyDescent="0.3">
      <c r="A2" s="38" t="s">
        <v>677</v>
      </c>
      <c r="B2" s="38"/>
      <c r="C2" s="38" t="s">
        <v>634</v>
      </c>
      <c r="D2" s="38"/>
      <c r="E2" s="1"/>
      <c r="F2" s="1"/>
      <c r="G2" s="1"/>
      <c r="H2" s="1"/>
      <c r="I2" s="1"/>
      <c r="J2" s="1"/>
      <c r="K2" s="1"/>
      <c r="L2" s="1"/>
      <c r="M2" s="1"/>
      <c r="N2" s="1"/>
      <c r="O2" s="1"/>
      <c r="P2" s="1"/>
      <c r="Q2" s="38" t="s">
        <v>634</v>
      </c>
      <c r="R2" s="38" t="s">
        <v>634</v>
      </c>
    </row>
    <row r="3" spans="1:18" x14ac:dyDescent="0.3">
      <c r="A3" s="37"/>
      <c r="B3" s="37" t="s">
        <v>723</v>
      </c>
      <c r="C3" s="37"/>
      <c r="D3" s="37"/>
      <c r="E3" s="37">
        <v>2</v>
      </c>
      <c r="F3" s="37">
        <v>3</v>
      </c>
      <c r="G3" s="37">
        <v>3</v>
      </c>
      <c r="H3" s="37">
        <v>3</v>
      </c>
      <c r="I3" s="37">
        <v>5</v>
      </c>
      <c r="J3" s="37">
        <v>5</v>
      </c>
      <c r="K3" s="37">
        <v>3</v>
      </c>
      <c r="L3" s="37">
        <v>5</v>
      </c>
      <c r="M3" s="37">
        <v>1</v>
      </c>
      <c r="N3" s="37">
        <v>3</v>
      </c>
      <c r="O3" s="37">
        <v>2</v>
      </c>
      <c r="P3" s="37">
        <v>3</v>
      </c>
      <c r="Q3" s="37"/>
      <c r="R3" s="37"/>
    </row>
    <row r="4" spans="1:18" x14ac:dyDescent="0.3">
      <c r="A4" s="38" t="s">
        <v>634</v>
      </c>
      <c r="B4" s="38"/>
      <c r="C4" s="38" t="s">
        <v>16</v>
      </c>
      <c r="D4" s="38" t="s">
        <v>634</v>
      </c>
      <c r="E4" s="38" t="s">
        <v>634</v>
      </c>
      <c r="F4" s="38" t="s">
        <v>634</v>
      </c>
      <c r="G4" s="38" t="s">
        <v>634</v>
      </c>
      <c r="H4" s="38" t="s">
        <v>634</v>
      </c>
      <c r="I4" s="38" t="s">
        <v>634</v>
      </c>
      <c r="J4" s="38" t="s">
        <v>634</v>
      </c>
      <c r="K4" s="38" t="s">
        <v>634</v>
      </c>
      <c r="L4" s="38" t="s">
        <v>634</v>
      </c>
      <c r="M4" s="38" t="s">
        <v>634</v>
      </c>
      <c r="N4" s="38" t="s">
        <v>634</v>
      </c>
      <c r="O4" s="38" t="s">
        <v>634</v>
      </c>
      <c r="P4" s="38" t="s">
        <v>634</v>
      </c>
      <c r="Q4" s="38" t="s">
        <v>634</v>
      </c>
      <c r="R4" s="38" t="s">
        <v>634</v>
      </c>
    </row>
    <row r="5" spans="1:18" x14ac:dyDescent="0.3">
      <c r="A5" s="37" t="s">
        <v>634</v>
      </c>
      <c r="B5" s="37" t="s">
        <v>634</v>
      </c>
      <c r="C5" s="37" t="s">
        <v>689</v>
      </c>
      <c r="D5" s="37"/>
      <c r="E5" s="37" t="s">
        <v>634</v>
      </c>
      <c r="F5" s="37" t="s">
        <v>634</v>
      </c>
      <c r="G5" s="37" t="s">
        <v>634</v>
      </c>
      <c r="H5" s="37" t="s">
        <v>634</v>
      </c>
      <c r="I5" s="37" t="s">
        <v>634</v>
      </c>
      <c r="J5" s="37" t="s">
        <v>634</v>
      </c>
      <c r="K5" s="37" t="s">
        <v>634</v>
      </c>
      <c r="L5" s="37" t="s">
        <v>634</v>
      </c>
      <c r="M5" s="37" t="s">
        <v>634</v>
      </c>
      <c r="N5" s="37" t="s">
        <v>634</v>
      </c>
      <c r="O5" s="37" t="s">
        <v>634</v>
      </c>
      <c r="P5" s="37" t="s">
        <v>634</v>
      </c>
      <c r="Q5" s="37" t="s">
        <v>634</v>
      </c>
      <c r="R5" s="37" t="s">
        <v>634</v>
      </c>
    </row>
    <row r="6" spans="1:18" x14ac:dyDescent="0.3">
      <c r="A6" s="38" t="s">
        <v>634</v>
      </c>
      <c r="B6" s="38" t="s">
        <v>634</v>
      </c>
      <c r="C6" s="38" t="s">
        <v>691</v>
      </c>
      <c r="D6" s="38" t="s">
        <v>634</v>
      </c>
      <c r="E6" s="38" t="s">
        <v>634</v>
      </c>
      <c r="F6" s="38" t="s">
        <v>634</v>
      </c>
      <c r="G6" s="38" t="s">
        <v>634</v>
      </c>
      <c r="H6" s="38" t="s">
        <v>634</v>
      </c>
      <c r="I6" s="38" t="s">
        <v>634</v>
      </c>
      <c r="J6" s="38" t="s">
        <v>634</v>
      </c>
      <c r="K6" s="38" t="s">
        <v>634</v>
      </c>
      <c r="L6" s="38" t="s">
        <v>634</v>
      </c>
      <c r="M6" s="38" t="s">
        <v>634</v>
      </c>
      <c r="N6" s="38" t="s">
        <v>634</v>
      </c>
      <c r="O6" s="38" t="s">
        <v>634</v>
      </c>
      <c r="P6" s="38" t="s">
        <v>634</v>
      </c>
      <c r="Q6" s="38" t="s">
        <v>634</v>
      </c>
      <c r="R6" s="38" t="s">
        <v>634</v>
      </c>
    </row>
    <row r="7" spans="1:18" x14ac:dyDescent="0.3">
      <c r="A7" s="37"/>
      <c r="B7" s="37"/>
      <c r="C7" s="37" t="s">
        <v>692</v>
      </c>
      <c r="D7" s="37"/>
      <c r="E7" s="37">
        <v>4</v>
      </c>
      <c r="F7" s="37">
        <v>4</v>
      </c>
      <c r="G7" s="37">
        <v>4</v>
      </c>
      <c r="H7" s="37">
        <v>5</v>
      </c>
      <c r="I7" s="37">
        <v>8</v>
      </c>
      <c r="J7" s="37">
        <v>8</v>
      </c>
      <c r="K7" s="37">
        <v>3</v>
      </c>
      <c r="L7" s="37">
        <v>6</v>
      </c>
      <c r="M7" s="37">
        <v>5</v>
      </c>
      <c r="N7" s="37">
        <v>8</v>
      </c>
      <c r="O7" s="37">
        <v>6</v>
      </c>
      <c r="P7" s="37">
        <v>8</v>
      </c>
      <c r="Q7" s="37"/>
      <c r="R7" s="37"/>
    </row>
    <row r="8" spans="1:18" x14ac:dyDescent="0.3">
      <c r="A8" s="38"/>
      <c r="B8" s="38"/>
      <c r="C8" s="38"/>
      <c r="D8" s="38" t="s">
        <v>690</v>
      </c>
      <c r="E8" s="38"/>
      <c r="F8" s="38"/>
      <c r="G8" s="38"/>
      <c r="H8" s="38"/>
      <c r="I8" s="38"/>
      <c r="J8" s="38"/>
      <c r="K8" s="38"/>
      <c r="L8" s="38"/>
      <c r="M8" s="38"/>
      <c r="N8" s="38"/>
      <c r="O8" s="38"/>
      <c r="P8" s="38"/>
      <c r="Q8" s="38"/>
      <c r="R8" s="38"/>
    </row>
    <row r="9" spans="1:18" x14ac:dyDescent="0.3">
      <c r="A9" s="37" t="s">
        <v>634</v>
      </c>
      <c r="B9" s="37" t="s">
        <v>634</v>
      </c>
      <c r="C9" s="37"/>
      <c r="D9" s="37" t="s">
        <v>693</v>
      </c>
      <c r="E9" s="37" t="s">
        <v>634</v>
      </c>
      <c r="F9" s="37" t="s">
        <v>634</v>
      </c>
      <c r="G9" s="37" t="s">
        <v>634</v>
      </c>
      <c r="H9" s="37" t="s">
        <v>634</v>
      </c>
      <c r="I9" s="37" t="s">
        <v>634</v>
      </c>
      <c r="J9" s="37" t="s">
        <v>634</v>
      </c>
      <c r="K9" s="37" t="s">
        <v>634</v>
      </c>
      <c r="L9" s="37" t="s">
        <v>634</v>
      </c>
      <c r="M9" s="37" t="s">
        <v>634</v>
      </c>
      <c r="N9" s="37" t="s">
        <v>634</v>
      </c>
      <c r="O9" s="37" t="s">
        <v>634</v>
      </c>
      <c r="P9" s="37" t="s">
        <v>634</v>
      </c>
      <c r="Q9" s="37" t="s">
        <v>634</v>
      </c>
      <c r="R9" s="37" t="s">
        <v>634</v>
      </c>
    </row>
    <row r="10" spans="1:18" x14ac:dyDescent="0.3">
      <c r="A10" s="38" t="s">
        <v>634</v>
      </c>
      <c r="B10" s="38" t="s">
        <v>634</v>
      </c>
      <c r="C10" s="38" t="s">
        <v>634</v>
      </c>
      <c r="D10" s="38" t="s">
        <v>694</v>
      </c>
      <c r="E10" s="38" t="s">
        <v>634</v>
      </c>
      <c r="F10" s="38" t="s">
        <v>634</v>
      </c>
      <c r="G10" s="38" t="s">
        <v>634</v>
      </c>
      <c r="H10" s="38" t="s">
        <v>634</v>
      </c>
      <c r="I10" s="38" t="s">
        <v>634</v>
      </c>
      <c r="J10" s="38" t="s">
        <v>634</v>
      </c>
      <c r="K10" s="38" t="s">
        <v>634</v>
      </c>
      <c r="L10" s="38" t="s">
        <v>634</v>
      </c>
      <c r="M10" s="38" t="s">
        <v>634</v>
      </c>
      <c r="N10" s="38" t="s">
        <v>634</v>
      </c>
      <c r="O10" s="38" t="s">
        <v>634</v>
      </c>
      <c r="P10" s="38" t="s">
        <v>634</v>
      </c>
      <c r="Q10" s="38" t="s">
        <v>634</v>
      </c>
      <c r="R10" s="38" t="s">
        <v>634</v>
      </c>
    </row>
    <row r="11" spans="1:18" x14ac:dyDescent="0.3">
      <c r="A11" s="37" t="s">
        <v>634</v>
      </c>
      <c r="B11" s="37" t="s">
        <v>634</v>
      </c>
      <c r="C11" s="37" t="s">
        <v>634</v>
      </c>
      <c r="D11" s="37" t="s">
        <v>695</v>
      </c>
      <c r="E11" s="37" t="s">
        <v>634</v>
      </c>
      <c r="F11" s="37" t="s">
        <v>634</v>
      </c>
      <c r="G11" s="37" t="s">
        <v>634</v>
      </c>
      <c r="H11" s="37" t="s">
        <v>634</v>
      </c>
      <c r="I11" s="37" t="s">
        <v>634</v>
      </c>
      <c r="J11" s="37" t="s">
        <v>634</v>
      </c>
      <c r="K11" s="37" t="s">
        <v>634</v>
      </c>
      <c r="L11" s="37" t="s">
        <v>634</v>
      </c>
      <c r="M11" s="37" t="s">
        <v>634</v>
      </c>
      <c r="N11" s="37" t="s">
        <v>634</v>
      </c>
      <c r="O11" s="37" t="s">
        <v>634</v>
      </c>
      <c r="P11" s="37" t="s">
        <v>634</v>
      </c>
      <c r="Q11" s="37" t="s">
        <v>634</v>
      </c>
      <c r="R11" s="37" t="s">
        <v>634</v>
      </c>
    </row>
    <row r="12" spans="1:18" x14ac:dyDescent="0.3">
      <c r="A12" s="38" t="s">
        <v>634</v>
      </c>
      <c r="B12" s="38" t="s">
        <v>634</v>
      </c>
      <c r="C12" s="38" t="s">
        <v>634</v>
      </c>
      <c r="D12" s="38" t="s">
        <v>696</v>
      </c>
      <c r="E12" s="38" t="s">
        <v>634</v>
      </c>
      <c r="F12" s="38" t="s">
        <v>634</v>
      </c>
      <c r="G12" s="38" t="s">
        <v>634</v>
      </c>
      <c r="H12" s="38" t="s">
        <v>634</v>
      </c>
      <c r="I12" s="38" t="s">
        <v>634</v>
      </c>
      <c r="J12" s="38" t="s">
        <v>634</v>
      </c>
      <c r="K12" s="38" t="s">
        <v>634</v>
      </c>
      <c r="L12" s="38" t="s">
        <v>634</v>
      </c>
      <c r="M12" s="38" t="s">
        <v>634</v>
      </c>
      <c r="N12" s="38" t="s">
        <v>634</v>
      </c>
      <c r="O12" s="38" t="s">
        <v>634</v>
      </c>
      <c r="P12" s="38" t="s">
        <v>634</v>
      </c>
      <c r="Q12" s="38" t="s">
        <v>634</v>
      </c>
      <c r="R12" s="38" t="s">
        <v>634</v>
      </c>
    </row>
    <row r="13" spans="1:18" x14ac:dyDescent="0.3">
      <c r="A13" s="37" t="s">
        <v>634</v>
      </c>
      <c r="B13" s="37" t="s">
        <v>634</v>
      </c>
      <c r="C13" s="37" t="s">
        <v>634</v>
      </c>
      <c r="D13" s="37" t="s">
        <v>697</v>
      </c>
      <c r="E13" s="37" t="s">
        <v>634</v>
      </c>
      <c r="F13" s="37" t="s">
        <v>634</v>
      </c>
      <c r="G13" s="37" t="s">
        <v>634</v>
      </c>
      <c r="H13" s="37" t="s">
        <v>634</v>
      </c>
      <c r="I13" s="37" t="s">
        <v>634</v>
      </c>
      <c r="J13" s="37" t="s">
        <v>634</v>
      </c>
      <c r="K13" s="37" t="s">
        <v>634</v>
      </c>
      <c r="L13" s="37" t="s">
        <v>634</v>
      </c>
      <c r="M13" s="37" t="s">
        <v>634</v>
      </c>
      <c r="N13" s="37" t="s">
        <v>634</v>
      </c>
      <c r="O13" s="37" t="s">
        <v>634</v>
      </c>
      <c r="P13" s="37" t="s">
        <v>634</v>
      </c>
      <c r="Q13" s="37" t="s">
        <v>634</v>
      </c>
      <c r="R13" s="37" t="s">
        <v>634</v>
      </c>
    </row>
    <row r="14" spans="1:18" x14ac:dyDescent="0.3">
      <c r="A14" s="37"/>
      <c r="B14" s="37"/>
      <c r="C14" s="37"/>
      <c r="D14" s="38" t="s">
        <v>690</v>
      </c>
      <c r="E14" s="37"/>
      <c r="F14" s="37"/>
      <c r="G14" s="37"/>
      <c r="H14" s="37"/>
      <c r="I14" s="37"/>
      <c r="J14" s="37"/>
      <c r="K14" s="37"/>
      <c r="L14" s="37"/>
      <c r="M14" s="37"/>
      <c r="N14" s="37"/>
      <c r="O14" s="37"/>
      <c r="P14" s="37"/>
      <c r="Q14" s="37"/>
      <c r="R14" s="37"/>
    </row>
    <row r="15" spans="1:18" x14ac:dyDescent="0.3">
      <c r="A15" s="38" t="s">
        <v>634</v>
      </c>
      <c r="B15" s="38" t="s">
        <v>634</v>
      </c>
      <c r="C15" s="38" t="s">
        <v>698</v>
      </c>
      <c r="E15" s="37">
        <v>4</v>
      </c>
      <c r="F15" s="37">
        <v>4</v>
      </c>
      <c r="G15" s="37">
        <v>4</v>
      </c>
      <c r="H15" s="37">
        <v>5</v>
      </c>
      <c r="I15" s="37">
        <v>8</v>
      </c>
      <c r="J15" s="37">
        <v>8</v>
      </c>
      <c r="K15" s="37">
        <v>3</v>
      </c>
      <c r="L15" s="37">
        <v>6</v>
      </c>
      <c r="M15" s="37">
        <v>5</v>
      </c>
      <c r="N15" s="37">
        <v>8</v>
      </c>
      <c r="O15" s="37">
        <v>6</v>
      </c>
      <c r="P15" s="37">
        <v>8</v>
      </c>
      <c r="Q15" s="38" t="s">
        <v>634</v>
      </c>
      <c r="R15" s="38" t="s">
        <v>634</v>
      </c>
    </row>
    <row r="16" spans="1:18" x14ac:dyDescent="0.3">
      <c r="A16" s="37" t="s">
        <v>634</v>
      </c>
      <c r="B16" s="37" t="s">
        <v>634</v>
      </c>
      <c r="C16" s="37"/>
      <c r="D16" s="37" t="s">
        <v>691</v>
      </c>
      <c r="E16" s="37" t="s">
        <v>634</v>
      </c>
      <c r="F16" s="37" t="s">
        <v>634</v>
      </c>
      <c r="G16" s="37" t="s">
        <v>634</v>
      </c>
      <c r="H16" s="37" t="s">
        <v>634</v>
      </c>
      <c r="I16" s="37" t="s">
        <v>634</v>
      </c>
      <c r="J16" s="37" t="s">
        <v>634</v>
      </c>
      <c r="K16" s="37" t="s">
        <v>634</v>
      </c>
      <c r="L16" s="37" t="s">
        <v>634</v>
      </c>
      <c r="M16" s="37" t="s">
        <v>634</v>
      </c>
      <c r="N16" s="37" t="s">
        <v>634</v>
      </c>
      <c r="O16" s="37" t="s">
        <v>634</v>
      </c>
      <c r="P16" s="37" t="s">
        <v>634</v>
      </c>
      <c r="Q16" s="37" t="s">
        <v>634</v>
      </c>
      <c r="R16" s="37" t="s">
        <v>634</v>
      </c>
    </row>
    <row r="17" spans="1:18" x14ac:dyDescent="0.3">
      <c r="A17" s="38" t="s">
        <v>634</v>
      </c>
      <c r="B17" s="38" t="s">
        <v>634</v>
      </c>
      <c r="C17" s="38"/>
      <c r="D17" s="38" t="s">
        <v>692</v>
      </c>
      <c r="E17" s="38">
        <v>1</v>
      </c>
      <c r="F17" s="38">
        <v>1</v>
      </c>
      <c r="G17" s="38">
        <v>1</v>
      </c>
      <c r="H17" s="38">
        <v>1</v>
      </c>
      <c r="I17" s="38">
        <v>3</v>
      </c>
      <c r="J17" s="38">
        <v>3</v>
      </c>
      <c r="K17" s="38">
        <v>2</v>
      </c>
      <c r="L17" s="38">
        <v>3</v>
      </c>
      <c r="M17" s="38">
        <v>1</v>
      </c>
      <c r="N17" s="38">
        <v>3</v>
      </c>
      <c r="O17" s="38">
        <v>2</v>
      </c>
      <c r="P17" s="38">
        <v>2</v>
      </c>
      <c r="Q17" s="38" t="s">
        <v>634</v>
      </c>
      <c r="R17" s="38" t="s">
        <v>634</v>
      </c>
    </row>
    <row r="18" spans="1:18" x14ac:dyDescent="0.3">
      <c r="A18" s="37"/>
      <c r="B18" s="37"/>
      <c r="C18" s="37"/>
      <c r="D18" s="37" t="s">
        <v>693</v>
      </c>
      <c r="E18" s="37"/>
      <c r="F18" s="37"/>
      <c r="G18" s="37"/>
      <c r="H18" s="37"/>
      <c r="I18" s="37"/>
      <c r="J18" s="37"/>
      <c r="K18" s="37"/>
      <c r="L18" s="37"/>
      <c r="M18" s="37"/>
      <c r="N18" s="37"/>
      <c r="O18" s="37"/>
      <c r="P18" s="37"/>
      <c r="Q18" s="37"/>
      <c r="R18" s="37"/>
    </row>
    <row r="19" spans="1:18" x14ac:dyDescent="0.3">
      <c r="A19" s="38" t="s">
        <v>634</v>
      </c>
      <c r="B19" s="38" t="s">
        <v>634</v>
      </c>
      <c r="C19" s="38" t="s">
        <v>634</v>
      </c>
      <c r="D19" s="38" t="s">
        <v>694</v>
      </c>
      <c r="E19" s="38" t="s">
        <v>634</v>
      </c>
      <c r="F19" s="38" t="s">
        <v>634</v>
      </c>
      <c r="G19" s="38" t="s">
        <v>634</v>
      </c>
      <c r="H19" s="38" t="s">
        <v>634</v>
      </c>
      <c r="I19" s="38" t="s">
        <v>634</v>
      </c>
      <c r="J19" s="38" t="s">
        <v>634</v>
      </c>
      <c r="K19" s="38" t="s">
        <v>634</v>
      </c>
      <c r="L19" s="38" t="s">
        <v>634</v>
      </c>
      <c r="M19" s="38" t="s">
        <v>634</v>
      </c>
      <c r="N19" s="38" t="s">
        <v>634</v>
      </c>
      <c r="O19" s="38" t="s">
        <v>634</v>
      </c>
      <c r="P19" s="38" t="s">
        <v>634</v>
      </c>
      <c r="Q19" s="38" t="s">
        <v>634</v>
      </c>
      <c r="R19" s="38" t="s">
        <v>634</v>
      </c>
    </row>
    <row r="20" spans="1:18" x14ac:dyDescent="0.3">
      <c r="A20" s="37" t="s">
        <v>634</v>
      </c>
      <c r="B20" s="37" t="s">
        <v>634</v>
      </c>
      <c r="C20" s="37" t="s">
        <v>634</v>
      </c>
      <c r="D20" s="37" t="s">
        <v>695</v>
      </c>
      <c r="E20" s="37" t="s">
        <v>634</v>
      </c>
      <c r="F20" s="37" t="s">
        <v>634</v>
      </c>
      <c r="G20" s="37" t="s">
        <v>634</v>
      </c>
      <c r="H20" s="37" t="s">
        <v>634</v>
      </c>
      <c r="I20" s="37" t="s">
        <v>634</v>
      </c>
      <c r="J20" s="37" t="s">
        <v>634</v>
      </c>
      <c r="K20" s="37" t="s">
        <v>634</v>
      </c>
      <c r="L20" s="37" t="s">
        <v>634</v>
      </c>
      <c r="M20" s="37" t="s">
        <v>634</v>
      </c>
      <c r="N20" s="37" t="s">
        <v>634</v>
      </c>
      <c r="O20" s="37" t="s">
        <v>634</v>
      </c>
      <c r="P20" s="37" t="s">
        <v>634</v>
      </c>
      <c r="Q20" s="37" t="s">
        <v>634</v>
      </c>
      <c r="R20" s="37" t="s">
        <v>634</v>
      </c>
    </row>
    <row r="21" spans="1:18" x14ac:dyDescent="0.3">
      <c r="A21" s="38" t="s">
        <v>634</v>
      </c>
      <c r="B21" s="38" t="s">
        <v>634</v>
      </c>
      <c r="C21" s="38" t="s">
        <v>634</v>
      </c>
      <c r="D21" s="38" t="s">
        <v>696</v>
      </c>
      <c r="E21" s="38" t="s">
        <v>634</v>
      </c>
      <c r="F21" s="38" t="s">
        <v>634</v>
      </c>
      <c r="G21" s="38" t="s">
        <v>634</v>
      </c>
      <c r="H21" s="38" t="s">
        <v>634</v>
      </c>
      <c r="I21" s="38" t="s">
        <v>634</v>
      </c>
      <c r="J21" s="38" t="s">
        <v>634</v>
      </c>
      <c r="K21" s="38" t="s">
        <v>634</v>
      </c>
      <c r="L21" s="38" t="s">
        <v>634</v>
      </c>
      <c r="M21" s="38" t="s">
        <v>634</v>
      </c>
      <c r="N21" s="38" t="s">
        <v>634</v>
      </c>
      <c r="O21" s="38" t="s">
        <v>634</v>
      </c>
      <c r="P21" s="38" t="s">
        <v>634</v>
      </c>
      <c r="Q21" s="38" t="s">
        <v>634</v>
      </c>
      <c r="R21" s="38" t="s">
        <v>634</v>
      </c>
    </row>
    <row r="22" spans="1:18" x14ac:dyDescent="0.3">
      <c r="A22" s="37" t="s">
        <v>634</v>
      </c>
      <c r="B22" s="37" t="s">
        <v>634</v>
      </c>
      <c r="C22" s="37" t="s">
        <v>634</v>
      </c>
      <c r="D22" s="37" t="s">
        <v>697</v>
      </c>
      <c r="E22" s="37" t="s">
        <v>634</v>
      </c>
      <c r="F22" s="37" t="s">
        <v>634</v>
      </c>
      <c r="G22" s="37" t="s">
        <v>634</v>
      </c>
      <c r="H22" s="37" t="s">
        <v>634</v>
      </c>
      <c r="I22" s="37" t="s">
        <v>634</v>
      </c>
      <c r="J22" s="37" t="s">
        <v>634</v>
      </c>
      <c r="K22" s="37" t="s">
        <v>634</v>
      </c>
      <c r="L22" s="37" t="s">
        <v>634</v>
      </c>
      <c r="M22" s="37" t="s">
        <v>634</v>
      </c>
      <c r="N22" s="37" t="s">
        <v>634</v>
      </c>
      <c r="O22" s="37" t="s">
        <v>634</v>
      </c>
      <c r="P22" s="37" t="s">
        <v>634</v>
      </c>
      <c r="Q22" s="37" t="s">
        <v>634</v>
      </c>
      <c r="R22" s="37" t="s">
        <v>634</v>
      </c>
    </row>
    <row r="23" spans="1:18" x14ac:dyDescent="0.3">
      <c r="A23" s="38" t="s">
        <v>634</v>
      </c>
      <c r="B23" s="38" t="s">
        <v>634</v>
      </c>
      <c r="C23" s="38" t="s">
        <v>699</v>
      </c>
      <c r="D23" s="38" t="s">
        <v>634</v>
      </c>
      <c r="E23" s="37">
        <v>1</v>
      </c>
      <c r="F23" s="37">
        <v>1</v>
      </c>
      <c r="G23" s="37">
        <v>1</v>
      </c>
      <c r="H23" s="37">
        <v>1</v>
      </c>
      <c r="I23" s="37">
        <v>2</v>
      </c>
      <c r="J23" s="37">
        <v>2</v>
      </c>
      <c r="K23" s="37">
        <v>1</v>
      </c>
      <c r="L23" s="37">
        <v>2</v>
      </c>
      <c r="M23" s="37">
        <v>1</v>
      </c>
      <c r="N23" s="37">
        <v>1</v>
      </c>
      <c r="O23" s="37">
        <v>1</v>
      </c>
      <c r="P23" s="37">
        <v>1</v>
      </c>
      <c r="Q23" s="38" t="s">
        <v>634</v>
      </c>
      <c r="R23" s="38" t="s">
        <v>634</v>
      </c>
    </row>
    <row r="24" spans="1:18" x14ac:dyDescent="0.3">
      <c r="A24" s="38"/>
      <c r="B24" s="38"/>
      <c r="C24" s="38"/>
      <c r="D24" s="38" t="s">
        <v>833</v>
      </c>
      <c r="E24" s="37">
        <v>1</v>
      </c>
      <c r="F24" s="37">
        <v>1</v>
      </c>
      <c r="G24" s="37">
        <v>1</v>
      </c>
      <c r="H24" s="37">
        <v>1</v>
      </c>
      <c r="I24" s="37">
        <v>3</v>
      </c>
      <c r="J24" s="37">
        <v>3</v>
      </c>
      <c r="K24" s="37">
        <v>1</v>
      </c>
      <c r="L24" s="37">
        <v>3</v>
      </c>
      <c r="M24" s="37">
        <v>1</v>
      </c>
      <c r="N24" s="37">
        <v>1</v>
      </c>
      <c r="O24" s="37">
        <v>1</v>
      </c>
      <c r="P24" s="37">
        <v>1</v>
      </c>
      <c r="Q24" s="38"/>
      <c r="R24" s="38"/>
    </row>
    <row r="25" spans="1:18" x14ac:dyDescent="0.3">
      <c r="A25" s="37" t="s">
        <v>634</v>
      </c>
      <c r="B25" s="37" t="s">
        <v>634</v>
      </c>
      <c r="C25" s="37" t="s">
        <v>700</v>
      </c>
      <c r="D25" s="37" t="s">
        <v>634</v>
      </c>
      <c r="E25" s="37" t="s">
        <v>634</v>
      </c>
      <c r="F25" s="37" t="s">
        <v>634</v>
      </c>
      <c r="G25" s="37" t="s">
        <v>634</v>
      </c>
      <c r="H25" s="37" t="s">
        <v>634</v>
      </c>
      <c r="I25" s="37" t="s">
        <v>634</v>
      </c>
      <c r="J25" s="37" t="s">
        <v>634</v>
      </c>
      <c r="K25" s="37" t="s">
        <v>634</v>
      </c>
      <c r="L25" s="37" t="s">
        <v>634</v>
      </c>
      <c r="M25" s="37" t="s">
        <v>634</v>
      </c>
      <c r="N25" s="37" t="s">
        <v>634</v>
      </c>
      <c r="O25" s="37" t="s">
        <v>634</v>
      </c>
      <c r="P25" s="37" t="s">
        <v>634</v>
      </c>
      <c r="Q25" s="37" t="s">
        <v>634</v>
      </c>
      <c r="R25" s="37" t="s">
        <v>634</v>
      </c>
    </row>
    <row r="26" spans="1:18" x14ac:dyDescent="0.3">
      <c r="A26" s="38"/>
      <c r="B26" s="38"/>
      <c r="C26" s="38" t="s">
        <v>701</v>
      </c>
      <c r="D26" s="38"/>
      <c r="E26" s="38">
        <v>1</v>
      </c>
      <c r="F26" s="38">
        <v>1</v>
      </c>
      <c r="G26" s="38">
        <v>1</v>
      </c>
      <c r="H26" s="38">
        <v>1</v>
      </c>
      <c r="I26" s="38">
        <v>3</v>
      </c>
      <c r="J26" s="38">
        <v>3</v>
      </c>
      <c r="K26" s="38">
        <v>2</v>
      </c>
      <c r="L26" s="38">
        <v>3</v>
      </c>
      <c r="M26" s="38">
        <v>1</v>
      </c>
      <c r="N26" s="38">
        <v>3</v>
      </c>
      <c r="O26" s="38">
        <v>2</v>
      </c>
      <c r="P26" s="38">
        <v>2</v>
      </c>
      <c r="Q26" s="38"/>
      <c r="R26" s="38"/>
    </row>
    <row r="27" spans="1:18" x14ac:dyDescent="0.3">
      <c r="A27" s="37" t="s">
        <v>634</v>
      </c>
      <c r="B27" s="37" t="s">
        <v>634</v>
      </c>
      <c r="C27" s="37"/>
      <c r="D27" s="37" t="s">
        <v>642</v>
      </c>
      <c r="E27" s="37" t="s">
        <v>634</v>
      </c>
      <c r="F27" s="37" t="s">
        <v>634</v>
      </c>
      <c r="G27" s="37" t="s">
        <v>634</v>
      </c>
      <c r="H27" s="37" t="s">
        <v>634</v>
      </c>
      <c r="I27" s="37" t="s">
        <v>634</v>
      </c>
      <c r="J27" s="37" t="s">
        <v>634</v>
      </c>
      <c r="K27" s="37" t="s">
        <v>634</v>
      </c>
      <c r="L27" s="37" t="s">
        <v>634</v>
      </c>
      <c r="M27" s="37" t="s">
        <v>634</v>
      </c>
      <c r="N27" s="37" t="s">
        <v>634</v>
      </c>
      <c r="O27" s="37" t="s">
        <v>634</v>
      </c>
      <c r="P27" s="37" t="s">
        <v>634</v>
      </c>
      <c r="Q27" s="37" t="s">
        <v>634</v>
      </c>
      <c r="R27" s="37" t="s">
        <v>634</v>
      </c>
    </row>
    <row r="28" spans="1:18" x14ac:dyDescent="0.3">
      <c r="A28" s="38" t="s">
        <v>634</v>
      </c>
      <c r="B28" s="38" t="s">
        <v>634</v>
      </c>
      <c r="C28" s="38" t="s">
        <v>634</v>
      </c>
      <c r="D28" s="38" t="s">
        <v>702</v>
      </c>
      <c r="E28" s="38" t="s">
        <v>634</v>
      </c>
      <c r="F28" s="38" t="s">
        <v>634</v>
      </c>
      <c r="G28" s="38" t="s">
        <v>634</v>
      </c>
      <c r="H28" s="38" t="s">
        <v>634</v>
      </c>
      <c r="I28" s="38" t="s">
        <v>634</v>
      </c>
      <c r="J28" s="38" t="s">
        <v>634</v>
      </c>
      <c r="K28" s="38" t="s">
        <v>634</v>
      </c>
      <c r="L28" s="38" t="s">
        <v>634</v>
      </c>
      <c r="M28" s="38" t="s">
        <v>634</v>
      </c>
      <c r="N28" s="38" t="s">
        <v>634</v>
      </c>
      <c r="O28" s="38" t="s">
        <v>634</v>
      </c>
      <c r="P28" s="38" t="s">
        <v>634</v>
      </c>
      <c r="Q28" s="38" t="s">
        <v>634</v>
      </c>
      <c r="R28" s="38" t="s">
        <v>634</v>
      </c>
    </row>
    <row r="29" spans="1:18" x14ac:dyDescent="0.3">
      <c r="A29" s="37" t="s">
        <v>634</v>
      </c>
      <c r="B29" s="37" t="s">
        <v>634</v>
      </c>
      <c r="C29" s="37" t="s">
        <v>703</v>
      </c>
      <c r="D29" s="37" t="s">
        <v>634</v>
      </c>
      <c r="E29" s="37">
        <v>1</v>
      </c>
      <c r="F29" s="37">
        <v>1</v>
      </c>
      <c r="G29" s="37">
        <v>1</v>
      </c>
      <c r="H29" s="37">
        <v>1</v>
      </c>
      <c r="I29" s="37">
        <v>2</v>
      </c>
      <c r="J29" s="37">
        <v>2</v>
      </c>
      <c r="K29" s="37">
        <v>1</v>
      </c>
      <c r="L29" s="37">
        <v>2</v>
      </c>
      <c r="M29" s="37">
        <v>1</v>
      </c>
      <c r="N29" s="37">
        <v>1</v>
      </c>
      <c r="O29" s="37">
        <v>1</v>
      </c>
      <c r="P29" s="37">
        <v>1</v>
      </c>
      <c r="Q29" s="37" t="s">
        <v>634</v>
      </c>
      <c r="R29" s="37" t="s">
        <v>634</v>
      </c>
    </row>
    <row r="30" spans="1:18" x14ac:dyDescent="0.3">
      <c r="A30" s="38" t="s">
        <v>634</v>
      </c>
      <c r="B30" s="38" t="s">
        <v>634</v>
      </c>
      <c r="C30" s="38" t="s">
        <v>704</v>
      </c>
      <c r="D30" s="38" t="s">
        <v>634</v>
      </c>
      <c r="E30" s="38" t="s">
        <v>634</v>
      </c>
      <c r="F30" s="38" t="s">
        <v>634</v>
      </c>
      <c r="G30" s="38" t="s">
        <v>634</v>
      </c>
      <c r="H30" s="38" t="s">
        <v>634</v>
      </c>
      <c r="I30" s="38" t="s">
        <v>634</v>
      </c>
      <c r="J30" s="38" t="s">
        <v>634</v>
      </c>
      <c r="K30" s="38" t="s">
        <v>634</v>
      </c>
      <c r="L30" s="38" t="s">
        <v>634</v>
      </c>
      <c r="M30" s="38" t="s">
        <v>634</v>
      </c>
      <c r="N30" s="38" t="s">
        <v>634</v>
      </c>
      <c r="O30" s="38" t="s">
        <v>634</v>
      </c>
      <c r="P30" s="38" t="s">
        <v>634</v>
      </c>
      <c r="Q30" s="38" t="s">
        <v>634</v>
      </c>
      <c r="R30" s="38" t="s">
        <v>634</v>
      </c>
    </row>
    <row r="31" spans="1:18" x14ac:dyDescent="0.3">
      <c r="E31">
        <f>SUM(E2:E29)</f>
        <v>15</v>
      </c>
      <c r="F31">
        <f t="shared" ref="F31:R31" si="0">SUM(F2:F29)</f>
        <v>16</v>
      </c>
      <c r="G31">
        <f t="shared" si="0"/>
        <v>16</v>
      </c>
      <c r="H31">
        <f t="shared" si="0"/>
        <v>18</v>
      </c>
      <c r="I31">
        <f t="shared" si="0"/>
        <v>34</v>
      </c>
      <c r="J31">
        <f t="shared" si="0"/>
        <v>34</v>
      </c>
      <c r="K31">
        <f t="shared" si="0"/>
        <v>16</v>
      </c>
      <c r="L31">
        <f t="shared" si="0"/>
        <v>30</v>
      </c>
      <c r="M31">
        <f t="shared" si="0"/>
        <v>16</v>
      </c>
      <c r="N31">
        <f t="shared" si="0"/>
        <v>28</v>
      </c>
      <c r="O31">
        <f t="shared" si="0"/>
        <v>21</v>
      </c>
      <c r="P31">
        <f t="shared" si="0"/>
        <v>26</v>
      </c>
      <c r="Q31">
        <f t="shared" si="0"/>
        <v>0</v>
      </c>
      <c r="R31">
        <f t="shared" si="0"/>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9B774-3940-467B-BA15-EF8DC7D61244}">
  <dimension ref="A1:R13"/>
  <sheetViews>
    <sheetView workbookViewId="0">
      <selection sqref="A1:R13"/>
    </sheetView>
  </sheetViews>
  <sheetFormatPr defaultRowHeight="14.4" x14ac:dyDescent="0.3"/>
  <sheetData>
    <row r="1" spans="1:18" x14ac:dyDescent="0.3">
      <c r="A1" s="16" t="s">
        <v>18</v>
      </c>
      <c r="B1" s="17"/>
      <c r="C1" s="17"/>
      <c r="D1" s="17"/>
      <c r="E1" s="17">
        <f>SUM(E2:E11)</f>
        <v>4</v>
      </c>
      <c r="F1" s="17">
        <f t="shared" ref="F1:P1" si="0">SUM(F2:F11)</f>
        <v>4</v>
      </c>
      <c r="G1" s="17">
        <f t="shared" si="0"/>
        <v>4</v>
      </c>
      <c r="H1" s="17">
        <f t="shared" si="0"/>
        <v>8</v>
      </c>
      <c r="I1" s="17">
        <f t="shared" si="0"/>
        <v>12</v>
      </c>
      <c r="J1" s="17">
        <f t="shared" si="0"/>
        <v>12</v>
      </c>
      <c r="K1" s="17">
        <f t="shared" si="0"/>
        <v>8</v>
      </c>
      <c r="L1" s="17">
        <f t="shared" si="0"/>
        <v>12</v>
      </c>
      <c r="M1" s="17">
        <f t="shared" si="0"/>
        <v>4</v>
      </c>
      <c r="N1" s="17">
        <f t="shared" si="0"/>
        <v>8</v>
      </c>
      <c r="O1" s="17">
        <f t="shared" si="0"/>
        <v>8</v>
      </c>
      <c r="P1" s="17">
        <f t="shared" si="0"/>
        <v>8</v>
      </c>
      <c r="Q1" s="17"/>
      <c r="R1" s="18"/>
    </row>
    <row r="2" spans="1:18" x14ac:dyDescent="0.3">
      <c r="A2" s="19"/>
      <c r="B2" s="1" t="s">
        <v>587</v>
      </c>
      <c r="C2" s="1" t="s">
        <v>588</v>
      </c>
      <c r="D2" s="1"/>
      <c r="E2" s="1">
        <v>1</v>
      </c>
      <c r="F2" s="1">
        <v>1</v>
      </c>
      <c r="G2" s="1">
        <v>1</v>
      </c>
      <c r="H2" s="1">
        <v>2</v>
      </c>
      <c r="I2" s="1">
        <v>3</v>
      </c>
      <c r="J2" s="1">
        <v>3</v>
      </c>
      <c r="K2" s="1">
        <v>2</v>
      </c>
      <c r="L2" s="1">
        <v>3</v>
      </c>
      <c r="M2" s="1">
        <v>1</v>
      </c>
      <c r="N2" s="1">
        <v>2</v>
      </c>
      <c r="O2" s="1">
        <v>2</v>
      </c>
      <c r="P2" s="1">
        <v>2</v>
      </c>
      <c r="Q2" s="1"/>
      <c r="R2" s="10"/>
    </row>
    <row r="3" spans="1:18" x14ac:dyDescent="0.3">
      <c r="A3" s="16"/>
      <c r="B3" s="17"/>
      <c r="C3" s="17" t="s">
        <v>585</v>
      </c>
      <c r="D3" s="17"/>
      <c r="E3" s="17"/>
      <c r="F3" s="17"/>
      <c r="G3" s="17"/>
      <c r="H3" s="17"/>
      <c r="I3" s="17"/>
      <c r="J3" s="17"/>
      <c r="K3" s="17"/>
      <c r="L3" s="17"/>
      <c r="M3" s="17"/>
      <c r="N3" s="17"/>
      <c r="O3" s="17"/>
      <c r="P3" s="17"/>
      <c r="Q3" s="17"/>
      <c r="R3" s="18"/>
    </row>
    <row r="4" spans="1:18" x14ac:dyDescent="0.3">
      <c r="A4" s="19"/>
      <c r="B4" s="1"/>
      <c r="C4" s="1" t="s">
        <v>444</v>
      </c>
      <c r="D4" s="1"/>
      <c r="E4" s="1"/>
      <c r="F4" s="1"/>
      <c r="G4" s="1"/>
      <c r="H4" s="1"/>
      <c r="I4" s="1"/>
      <c r="J4" s="1"/>
      <c r="K4" s="1"/>
      <c r="L4" s="1"/>
      <c r="M4" s="1"/>
      <c r="N4" s="1"/>
      <c r="O4" s="1"/>
      <c r="P4" s="1"/>
      <c r="Q4" s="1"/>
      <c r="R4" s="10"/>
    </row>
    <row r="5" spans="1:18" x14ac:dyDescent="0.3">
      <c r="A5" s="16"/>
      <c r="B5" s="17" t="s">
        <v>589</v>
      </c>
      <c r="C5" s="17" t="s">
        <v>588</v>
      </c>
      <c r="D5" s="17"/>
      <c r="E5" s="17">
        <v>1</v>
      </c>
      <c r="F5" s="17">
        <v>1</v>
      </c>
      <c r="G5" s="17">
        <v>1</v>
      </c>
      <c r="H5" s="17">
        <v>2</v>
      </c>
      <c r="I5" s="17">
        <v>3</v>
      </c>
      <c r="J5" s="17">
        <v>3</v>
      </c>
      <c r="K5" s="17">
        <v>2</v>
      </c>
      <c r="L5" s="17">
        <v>3</v>
      </c>
      <c r="M5" s="17">
        <v>1</v>
      </c>
      <c r="N5" s="17">
        <v>2</v>
      </c>
      <c r="O5" s="17">
        <v>2</v>
      </c>
      <c r="P5" s="17">
        <v>2</v>
      </c>
      <c r="Q5" s="17"/>
      <c r="R5" s="18"/>
    </row>
    <row r="6" spans="1:18" x14ac:dyDescent="0.3">
      <c r="A6" s="19"/>
      <c r="B6" s="1"/>
      <c r="C6" s="1" t="s">
        <v>585</v>
      </c>
      <c r="D6" s="1"/>
      <c r="E6" s="1"/>
      <c r="F6" s="1"/>
      <c r="G6" s="1"/>
      <c r="H6" s="1"/>
      <c r="I6" s="1"/>
      <c r="J6" s="1"/>
      <c r="K6" s="1"/>
      <c r="L6" s="1"/>
      <c r="M6" s="1"/>
      <c r="N6" s="1"/>
      <c r="O6" s="1"/>
      <c r="P6" s="1"/>
      <c r="Q6" s="1"/>
      <c r="R6" s="10"/>
    </row>
    <row r="7" spans="1:18" x14ac:dyDescent="0.3">
      <c r="A7" s="16"/>
      <c r="B7" s="17"/>
      <c r="C7" s="17" t="s">
        <v>444</v>
      </c>
      <c r="D7" s="17"/>
      <c r="E7" s="17"/>
      <c r="F7" s="17"/>
      <c r="G7" s="17"/>
      <c r="H7" s="17"/>
      <c r="I7" s="17"/>
      <c r="J7" s="17"/>
      <c r="K7" s="17"/>
      <c r="L7" s="17"/>
      <c r="M7" s="17"/>
      <c r="N7" s="17"/>
      <c r="O7" s="17"/>
      <c r="P7" s="17"/>
      <c r="Q7" s="17"/>
      <c r="R7" s="18"/>
    </row>
    <row r="8" spans="1:18" x14ac:dyDescent="0.3">
      <c r="A8" s="19"/>
      <c r="B8" s="1" t="s">
        <v>590</v>
      </c>
      <c r="C8" s="1" t="s">
        <v>588</v>
      </c>
      <c r="D8" s="1"/>
      <c r="E8" s="1">
        <v>1</v>
      </c>
      <c r="F8" s="1">
        <v>1</v>
      </c>
      <c r="G8" s="1">
        <v>1</v>
      </c>
      <c r="H8" s="1">
        <v>2</v>
      </c>
      <c r="I8" s="1">
        <v>3</v>
      </c>
      <c r="J8" s="1">
        <v>3</v>
      </c>
      <c r="K8" s="1">
        <v>2</v>
      </c>
      <c r="L8" s="1">
        <v>3</v>
      </c>
      <c r="M8" s="1">
        <v>1</v>
      </c>
      <c r="N8" s="1">
        <v>2</v>
      </c>
      <c r="O8" s="1">
        <v>2</v>
      </c>
      <c r="P8" s="1">
        <v>2</v>
      </c>
      <c r="Q8" s="1"/>
      <c r="R8" s="10"/>
    </row>
    <row r="9" spans="1:18" x14ac:dyDescent="0.3">
      <c r="A9" s="16"/>
      <c r="B9" s="17"/>
      <c r="C9" s="17" t="s">
        <v>585</v>
      </c>
      <c r="D9" s="17"/>
      <c r="E9" s="17"/>
      <c r="F9" s="17"/>
      <c r="G9" s="17"/>
      <c r="H9" s="17"/>
      <c r="I9" s="17"/>
      <c r="J9" s="17"/>
      <c r="K9" s="17"/>
      <c r="L9" s="17"/>
      <c r="M9" s="17"/>
      <c r="N9" s="17"/>
      <c r="O9" s="17"/>
      <c r="P9" s="17"/>
      <c r="Q9" s="17"/>
      <c r="R9" s="18"/>
    </row>
    <row r="10" spans="1:18" x14ac:dyDescent="0.3">
      <c r="A10" s="19"/>
      <c r="B10" s="1"/>
      <c r="C10" s="1" t="s">
        <v>444</v>
      </c>
      <c r="D10" s="1"/>
      <c r="E10" s="1"/>
      <c r="F10" s="1"/>
      <c r="G10" s="1"/>
      <c r="H10" s="1"/>
      <c r="I10" s="1"/>
      <c r="J10" s="1"/>
      <c r="K10" s="1"/>
      <c r="L10" s="1"/>
      <c r="M10" s="1"/>
      <c r="N10" s="1"/>
      <c r="O10" s="1"/>
      <c r="P10" s="1"/>
      <c r="Q10" s="1"/>
      <c r="R10" s="10"/>
    </row>
    <row r="11" spans="1:18" x14ac:dyDescent="0.3">
      <c r="A11" s="16"/>
      <c r="B11" s="17" t="s">
        <v>591</v>
      </c>
      <c r="C11" s="17" t="s">
        <v>588</v>
      </c>
      <c r="D11" s="17"/>
      <c r="E11" s="17">
        <v>1</v>
      </c>
      <c r="F11" s="17">
        <v>1</v>
      </c>
      <c r="G11" s="17">
        <v>1</v>
      </c>
      <c r="H11" s="17">
        <v>2</v>
      </c>
      <c r="I11" s="17">
        <v>3</v>
      </c>
      <c r="J11" s="17">
        <v>3</v>
      </c>
      <c r="K11" s="17">
        <v>2</v>
      </c>
      <c r="L11" s="17">
        <v>3</v>
      </c>
      <c r="M11" s="17">
        <v>1</v>
      </c>
      <c r="N11" s="17">
        <v>2</v>
      </c>
      <c r="O11" s="17">
        <v>2</v>
      </c>
      <c r="P11" s="17">
        <v>2</v>
      </c>
      <c r="Q11" s="17"/>
      <c r="R11" s="18"/>
    </row>
    <row r="12" spans="1:18" x14ac:dyDescent="0.3">
      <c r="A12" s="19"/>
      <c r="B12" s="1"/>
      <c r="C12" s="1" t="s">
        <v>585</v>
      </c>
      <c r="D12" s="1"/>
      <c r="E12" s="1"/>
      <c r="F12" s="1"/>
      <c r="G12" s="1"/>
      <c r="H12" s="1"/>
      <c r="I12" s="1"/>
      <c r="J12" s="1"/>
      <c r="K12" s="1"/>
      <c r="L12" s="1"/>
      <c r="M12" s="1"/>
      <c r="N12" s="1"/>
      <c r="O12" s="1"/>
      <c r="P12" s="1"/>
      <c r="Q12" s="1"/>
      <c r="R12" s="10"/>
    </row>
    <row r="13" spans="1:18" x14ac:dyDescent="0.3">
      <c r="A13" s="16"/>
      <c r="B13" s="17"/>
      <c r="C13" s="17" t="s">
        <v>444</v>
      </c>
      <c r="D13" s="17"/>
      <c r="E13" s="17"/>
      <c r="F13" s="17"/>
      <c r="G13" s="17"/>
      <c r="H13" s="17"/>
      <c r="I13" s="17"/>
      <c r="J13" s="17"/>
      <c r="K13" s="17"/>
      <c r="L13" s="17"/>
      <c r="M13" s="17"/>
      <c r="N13" s="17"/>
      <c r="O13" s="17"/>
      <c r="P13" s="17"/>
      <c r="Q13" s="17"/>
      <c r="R13"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Effort Estimation</vt:lpstr>
      <vt:lpstr>Resources and Effort</vt:lpstr>
      <vt:lpstr>Complexity Summary</vt:lpstr>
      <vt:lpstr>All apps Estimation Summary</vt:lpstr>
      <vt:lpstr>Summary_old</vt:lpstr>
      <vt:lpstr>Power Apps Estimation</vt:lpstr>
      <vt:lpstr>Resource Loading</vt:lpstr>
      <vt:lpstr>BBS</vt:lpstr>
      <vt:lpstr>Cadence</vt:lpstr>
      <vt:lpstr>Risk &amp; Insurance</vt:lpstr>
      <vt:lpstr>CAF Effort</vt:lpstr>
      <vt:lpstr>CWT Effort</vt:lpstr>
      <vt:lpstr>Digitalized Invoice Effort</vt:lpstr>
      <vt:lpstr>Survey App Details</vt:lpstr>
      <vt:lpstr>Survey App Effort</vt:lpstr>
      <vt:lpstr>Survey Mobile App</vt:lpstr>
      <vt:lpstr>JDs</vt:lpstr>
      <vt:lpstr>Working-IND_30</vt:lpstr>
      <vt:lpstr>Login Details</vt:lpstr>
      <vt:lpstr>Survey Details</vt:lpstr>
      <vt:lpstr>DI Audit logs Details</vt:lpstr>
      <vt:lpstr>'CAF Effort'!_Toc89451387</vt:lpstr>
      <vt:lpstr>'CAF Effort'!_Toc89451388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Urukundappa G</dc:creator>
  <cp:keywords/>
  <dc:description/>
  <cp:lastModifiedBy>Urukundappa G</cp:lastModifiedBy>
  <cp:revision/>
  <dcterms:created xsi:type="dcterms:W3CDTF">2024-03-29T03:58:24Z</dcterms:created>
  <dcterms:modified xsi:type="dcterms:W3CDTF">2024-07-18T15:38:49Z</dcterms:modified>
  <cp:category/>
  <cp:contentStatus/>
</cp:coreProperties>
</file>