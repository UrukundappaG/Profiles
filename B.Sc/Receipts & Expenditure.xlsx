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ASC\"/>
    </mc:Choice>
  </mc:AlternateContent>
  <xr:revisionPtr revIDLastSave="0" documentId="13_ncr:1_{8814A66B-3F6D-43CD-A14F-3C0A2A983FB7}" xr6:coauthVersionLast="47" xr6:coauthVersionMax="47" xr10:uidLastSave="{00000000-0000-0000-0000-000000000000}"/>
  <bookViews>
    <workbookView xWindow="-108" yWindow="-108" windowWidth="23256" windowHeight="12456" xr2:uid="{D434C7F5-2B4F-4DF0-A1B6-CE941F36C830}"/>
  </bookViews>
  <sheets>
    <sheet name="Receipts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7" i="1" l="1"/>
  <c r="A37" i="1"/>
  <c r="J43" i="1"/>
  <c r="F38" i="1"/>
  <c r="F39" i="1"/>
  <c r="F40" i="1"/>
  <c r="F41" i="1"/>
  <c r="F42" i="1"/>
  <c r="F43" i="1"/>
  <c r="F37" i="1"/>
  <c r="D60" i="1"/>
  <c r="F3" i="1" l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N3" i="1"/>
</calcChain>
</file>

<file path=xl/sharedStrings.xml><?xml version="1.0" encoding="utf-8"?>
<sst xmlns="http://schemas.openxmlformats.org/spreadsheetml/2006/main" count="119" uniqueCount="115">
  <si>
    <t>S. No.</t>
  </si>
  <si>
    <t>Name of the Classmate</t>
  </si>
  <si>
    <t>Contribution</t>
  </si>
  <si>
    <t>Neel</t>
  </si>
  <si>
    <t>Vijay Bhasker</t>
  </si>
  <si>
    <t>Neeima</t>
  </si>
  <si>
    <t>Madhira Raghu</t>
  </si>
  <si>
    <t>Sailaja</t>
  </si>
  <si>
    <t>Thirumalesh</t>
  </si>
  <si>
    <t>Praveen</t>
  </si>
  <si>
    <t>Kareem</t>
  </si>
  <si>
    <t>Saraswathi</t>
  </si>
  <si>
    <t>Deepa</t>
  </si>
  <si>
    <t>Vijay</t>
  </si>
  <si>
    <t>Rajee</t>
  </si>
  <si>
    <t>Sunitha</t>
  </si>
  <si>
    <t>Jyothirmai</t>
  </si>
  <si>
    <t>Vimala</t>
  </si>
  <si>
    <t>Kranthi</t>
  </si>
  <si>
    <t>Urukundappa</t>
  </si>
  <si>
    <t>Nature of the Expenditure</t>
  </si>
  <si>
    <t>Amount</t>
  </si>
  <si>
    <t xml:space="preserve">Recharge of Prepaid SIM for collection Account </t>
  </si>
  <si>
    <t>UBI Bank Balance</t>
  </si>
  <si>
    <t>Kiran</t>
  </si>
  <si>
    <t>Bhagyalakshmi</t>
  </si>
  <si>
    <t xml:space="preserve">Receipts - Expenditure = </t>
  </si>
  <si>
    <t>Adinarayana</t>
  </si>
  <si>
    <t>Date</t>
  </si>
  <si>
    <t>Padma</t>
  </si>
  <si>
    <t>Rajashekar</t>
  </si>
  <si>
    <t>Raghu (Kowthalam)</t>
  </si>
  <si>
    <t>Ramesh</t>
  </si>
  <si>
    <t>Deena Jyothi</t>
  </si>
  <si>
    <t>Yellappa</t>
  </si>
  <si>
    <t>Renuka</t>
  </si>
  <si>
    <t>Bonda Raghu</t>
  </si>
  <si>
    <t>Faiz Ahmed</t>
  </si>
  <si>
    <t>Wagga Hari</t>
  </si>
  <si>
    <t>Rambabu</t>
  </si>
  <si>
    <t>Advance to Renukamba Catering</t>
  </si>
  <si>
    <t>N Murali Krishna</t>
  </si>
  <si>
    <t>B Umamaheswari Murthy</t>
  </si>
  <si>
    <t>Raghavendra Prasad (Aluru)</t>
  </si>
  <si>
    <t>Vinod</t>
  </si>
  <si>
    <t>Vijay USA</t>
  </si>
  <si>
    <t>Madhu Congress</t>
  </si>
  <si>
    <t>Zubair</t>
  </si>
  <si>
    <t>Monthly Recharge of Prepaid SIM</t>
  </si>
  <si>
    <t>Shabbir</t>
  </si>
  <si>
    <t>Natraj</t>
  </si>
  <si>
    <t>Zakhir</t>
  </si>
  <si>
    <t>Gnana Chandra Babu</t>
  </si>
  <si>
    <t>Bandaru Nagaraju</t>
  </si>
  <si>
    <t>Gowtham</t>
  </si>
  <si>
    <t>Satya Simha</t>
  </si>
  <si>
    <t>Prakash</t>
  </si>
  <si>
    <t>Vishnu</t>
  </si>
  <si>
    <t>Nallana</t>
  </si>
  <si>
    <t xml:space="preserve">One Saree </t>
  </si>
  <si>
    <t>Yuvaraj</t>
  </si>
  <si>
    <t>Shankuntala</t>
  </si>
  <si>
    <t>Roopa</t>
  </si>
  <si>
    <t>Narasimha Reddy</t>
  </si>
  <si>
    <t>Y Kumar</t>
  </si>
  <si>
    <t>H Rajendra</t>
  </si>
  <si>
    <t>Banners Paid to Kowthalam Raghu / Urukund</t>
  </si>
  <si>
    <t>2nd Lot of Bags Payment to Urukund</t>
  </si>
  <si>
    <t>1st Lot of Bags Payment to Urukund</t>
  </si>
  <si>
    <t>5 Sapplings Payment to Urukund</t>
  </si>
  <si>
    <t>Plant Gifts Booking Payment to ARPHIBO</t>
  </si>
  <si>
    <t>Difference</t>
  </si>
  <si>
    <t>Mini Bus Booking Payment to Pratap</t>
  </si>
  <si>
    <t>Updated as on 29-05-2025</t>
  </si>
  <si>
    <t>Cash in Hand</t>
  </si>
  <si>
    <t>Mini Bus Deisel Advance</t>
  </si>
  <si>
    <t>Mini Bus Final Payment</t>
  </si>
  <si>
    <t>Satya Travels - Toofan Deisel Advance</t>
  </si>
  <si>
    <t>Satya Travels - Innova Deisel Advance</t>
  </si>
  <si>
    <t>Satya Travels - Final Payment for both Vehicles</t>
  </si>
  <si>
    <t>Sailu - Lamp Stand related &amp; Chocolates</t>
  </si>
  <si>
    <t>Renukamba Second Payment</t>
  </si>
  <si>
    <t>Renukamba Balance Payment</t>
  </si>
  <si>
    <t>Shamiyana Final Payment</t>
  </si>
  <si>
    <t>Help to Late Hari's Children</t>
  </si>
  <si>
    <t>Service Charges to Murthy &amp; Ramu</t>
  </si>
  <si>
    <t xml:space="preserve">Teachers Gifts Final Payment to Bhasker </t>
  </si>
  <si>
    <t>Lunch Amount given to Murthy</t>
  </si>
  <si>
    <t>Wiping of Chairs - Murthy &amp; Ramu</t>
  </si>
  <si>
    <t>Stage Decoration Extra Payment to Ravi (As we changed the Design)</t>
  </si>
  <si>
    <t>Bouquets  purchased by Jyothirmai</t>
  </si>
  <si>
    <t>Gifts Payment to Phani &amp; Vimala Team</t>
  </si>
  <si>
    <t>Function Hall &amp; Rooms - Second Payment to Vimala Regency</t>
  </si>
  <si>
    <t>Satya Travels - Second Day Car paid to Ramanji</t>
  </si>
  <si>
    <t>Badges Payment paid to Bhasker</t>
  </si>
  <si>
    <t>Shawls, Garlands &amp; Flowers brought through Aluru Raghu</t>
  </si>
  <si>
    <t>Scissors, Pins &amp; Fevicol Stick paid to Bhasker</t>
  </si>
  <si>
    <t>Food &amp; Hall Final Payment to Vimala Regency</t>
  </si>
  <si>
    <t>25-052025</t>
  </si>
  <si>
    <t>Ladies Hotel Rooms Rent at Vimala Regency</t>
  </si>
  <si>
    <t>Sappling Pits Digging paid to Murthy &amp; Ramu</t>
  </si>
  <si>
    <t>Cleaning Staff (Ladies) paid to 24-05-2025 - Cleaning during Lunch</t>
  </si>
  <si>
    <t>Diesel for Generator for keeping back up power &amp; Phenoil paid to Murthy</t>
  </si>
  <si>
    <t>Chanti</t>
  </si>
  <si>
    <t>Xerox of Invitations, Other Docs &amp; Covers</t>
  </si>
  <si>
    <t>Dinner to Families on 24-05-2025</t>
  </si>
  <si>
    <t>Dinner to Families on 25-05-2025</t>
  </si>
  <si>
    <t>Snacks to working Classmates Team brought through Nallanna</t>
  </si>
  <si>
    <t>Satya Travels - Cars Booking Payment to Satya</t>
  </si>
  <si>
    <t>Function Hall Booking &amp; Rooms Booking - Advance Given - Vimala Regency</t>
  </si>
  <si>
    <t xml:space="preserve">One Classmate Ticket </t>
  </si>
  <si>
    <t>Tallied as on 29-05-2025</t>
  </si>
  <si>
    <t>Urukund's Room Rent</t>
  </si>
  <si>
    <t>Total Collection</t>
  </si>
  <si>
    <t>Total Expenditure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</si>
</sst>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14" fontId="0" fillId="0" borderId="1" xfId="0" applyNumberFormat="1" applyBorder="1" applyAlignment="1">
      <alignment horizontal="left"/>
    </xf>
    <xf numFmtId="14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0" fillId="0" borderId="3" xfId="0" applyNumberFormat="1" applyBorder="1" applyAlignment="1">
      <alignment horizontal="left"/>
    </xf>
    <xf numFmtId="14" fontId="0" fillId="0" borderId="4" xfId="0" applyNumberFormat="1" applyBorder="1" applyAlignment="1">
      <alignment horizontal="left"/>
    </xf>
    <xf numFmtId="14" fontId="0" fillId="0" borderId="0" xfId="0" applyNumberFormat="1"/>
    <xf numFmtId="0" fontId="0" fillId="0" borderId="2" xfId="0" applyBorder="1"/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79408-3CF8-40CC-AA50-ED54D12EFE8F}">
  <dimension ref="A1:Q66"/>
  <sheetViews>
    <sheetView tabSelected="1" topLeftCell="D1" zoomScale="108" workbookViewId="0">
      <selection activeCell="N11" sqref="N11"/>
    </sheetView>
  </sheetViews>
  <sheetFormatPr defaultRowHeight="14.4" x14ac:dyDescent="0.3"/>
  <cols>
    <col min="2" max="2" width="35.21875" customWidth="1"/>
    <col min="3" max="3" width="17.21875" customWidth="1"/>
    <col min="4" max="4" width="10.44140625" style="12" bestFit="1" customWidth="1"/>
    <col min="7" max="7" width="64.88671875" customWidth="1"/>
    <col min="8" max="9" width="14.21875" style="9" customWidth="1"/>
    <col min="13" max="13" width="14.77734375" customWidth="1"/>
    <col min="16" max="16" width="10.44140625" bestFit="1" customWidth="1"/>
  </cols>
  <sheetData>
    <row r="1" spans="1:17" x14ac:dyDescent="0.3">
      <c r="A1" s="4" t="s">
        <v>0</v>
      </c>
      <c r="B1" s="6" t="s">
        <v>1</v>
      </c>
      <c r="C1" s="3" t="s">
        <v>2</v>
      </c>
      <c r="D1" s="11" t="s">
        <v>28</v>
      </c>
      <c r="F1" s="4" t="s">
        <v>0</v>
      </c>
      <c r="G1" s="2" t="s">
        <v>20</v>
      </c>
      <c r="H1" s="3" t="s">
        <v>21</v>
      </c>
      <c r="I1" s="3" t="s">
        <v>28</v>
      </c>
      <c r="L1" s="1" t="s">
        <v>113</v>
      </c>
      <c r="M1" s="1"/>
      <c r="N1" s="1">
        <v>511001</v>
      </c>
      <c r="O1" s="1"/>
      <c r="P1" s="1"/>
      <c r="Q1" s="1"/>
    </row>
    <row r="2" spans="1:17" x14ac:dyDescent="0.3">
      <c r="A2" s="5">
        <v>1</v>
      </c>
      <c r="B2" s="7" t="s">
        <v>4</v>
      </c>
      <c r="C2" s="8">
        <v>10000</v>
      </c>
      <c r="D2" s="13">
        <v>45752</v>
      </c>
      <c r="F2" s="5">
        <v>1</v>
      </c>
      <c r="G2" s="1" t="s">
        <v>109</v>
      </c>
      <c r="H2" s="8">
        <v>15000</v>
      </c>
      <c r="I2" s="14">
        <v>45746</v>
      </c>
      <c r="L2" s="25" t="s">
        <v>114</v>
      </c>
      <c r="M2" s="26"/>
      <c r="N2" s="1">
        <v>307723</v>
      </c>
      <c r="O2" s="1"/>
      <c r="P2" s="1"/>
      <c r="Q2" s="1"/>
    </row>
    <row r="3" spans="1:17" x14ac:dyDescent="0.3">
      <c r="A3" s="5">
        <f t="shared" ref="A3:A11" si="0">A2+1</f>
        <v>2</v>
      </c>
      <c r="B3" s="7" t="s">
        <v>5</v>
      </c>
      <c r="C3" s="8">
        <v>10000</v>
      </c>
      <c r="D3" s="13">
        <v>45749</v>
      </c>
      <c r="F3" s="5">
        <f>F2+1</f>
        <v>2</v>
      </c>
      <c r="G3" s="1" t="s">
        <v>22</v>
      </c>
      <c r="H3" s="8">
        <v>299</v>
      </c>
      <c r="I3" s="14">
        <v>45736</v>
      </c>
      <c r="L3" s="1" t="s">
        <v>26</v>
      </c>
      <c r="M3" s="1"/>
      <c r="N3" s="1">
        <f>D60-J43</f>
        <v>203278</v>
      </c>
      <c r="O3" s="1"/>
      <c r="P3" s="1"/>
      <c r="Q3" s="1"/>
    </row>
    <row r="4" spans="1:17" x14ac:dyDescent="0.3">
      <c r="A4" s="5">
        <f t="shared" si="0"/>
        <v>3</v>
      </c>
      <c r="B4" s="7" t="s">
        <v>6</v>
      </c>
      <c r="C4" s="8">
        <v>3000</v>
      </c>
      <c r="D4" s="13">
        <v>45749</v>
      </c>
      <c r="F4" s="5">
        <v>3</v>
      </c>
      <c r="G4" s="1" t="s">
        <v>59</v>
      </c>
      <c r="H4" s="8">
        <v>1000</v>
      </c>
      <c r="I4" s="14">
        <v>45746</v>
      </c>
      <c r="L4" s="1" t="s">
        <v>23</v>
      </c>
      <c r="M4" s="1"/>
      <c r="N4" s="1">
        <v>158139</v>
      </c>
      <c r="O4" s="1"/>
      <c r="P4" s="1"/>
      <c r="Q4" s="1"/>
    </row>
    <row r="5" spans="1:17" x14ac:dyDescent="0.3">
      <c r="A5" s="5">
        <f t="shared" si="0"/>
        <v>4</v>
      </c>
      <c r="B5" s="7" t="s">
        <v>7</v>
      </c>
      <c r="C5" s="8">
        <v>10000</v>
      </c>
      <c r="D5" s="13">
        <v>45749</v>
      </c>
      <c r="F5" s="5">
        <v>4</v>
      </c>
      <c r="G5" s="1" t="s">
        <v>40</v>
      </c>
      <c r="H5" s="8">
        <v>25000</v>
      </c>
      <c r="I5" s="14">
        <v>45757</v>
      </c>
      <c r="L5" s="1" t="s">
        <v>74</v>
      </c>
      <c r="M5" s="1"/>
      <c r="N5" s="1">
        <v>36198</v>
      </c>
      <c r="O5" s="1"/>
      <c r="P5" s="1"/>
      <c r="Q5" s="1"/>
    </row>
    <row r="6" spans="1:17" x14ac:dyDescent="0.3">
      <c r="A6" s="5">
        <f t="shared" si="0"/>
        <v>5</v>
      </c>
      <c r="B6" s="7" t="s">
        <v>8</v>
      </c>
      <c r="C6" s="8">
        <v>25000</v>
      </c>
      <c r="D6" s="13">
        <v>45747</v>
      </c>
      <c r="F6" s="5">
        <v>5</v>
      </c>
      <c r="G6" s="1" t="s">
        <v>48</v>
      </c>
      <c r="H6" s="8">
        <v>199</v>
      </c>
      <c r="I6" s="14">
        <v>45764</v>
      </c>
      <c r="L6" s="1" t="s">
        <v>112</v>
      </c>
      <c r="M6" s="1"/>
      <c r="N6" s="1">
        <v>8941</v>
      </c>
      <c r="O6" s="1"/>
      <c r="P6" s="1"/>
      <c r="Q6" s="1"/>
    </row>
    <row r="7" spans="1:17" x14ac:dyDescent="0.3">
      <c r="A7" s="5">
        <f t="shared" si="0"/>
        <v>6</v>
      </c>
      <c r="B7" s="7" t="s">
        <v>9</v>
      </c>
      <c r="C7" s="8">
        <v>25000</v>
      </c>
      <c r="D7" s="13">
        <v>45747</v>
      </c>
      <c r="F7" s="5">
        <v>6</v>
      </c>
      <c r="G7" s="1" t="s">
        <v>91</v>
      </c>
      <c r="H7" s="8">
        <v>11895</v>
      </c>
      <c r="I7" s="14">
        <v>45796</v>
      </c>
      <c r="L7" s="1" t="s">
        <v>71</v>
      </c>
      <c r="M7" s="1"/>
      <c r="N7" s="1">
        <f>N3-N4-N5-N6</f>
        <v>0</v>
      </c>
      <c r="O7" s="1" t="s">
        <v>111</v>
      </c>
      <c r="P7" s="1"/>
      <c r="Q7" s="1"/>
    </row>
    <row r="8" spans="1:17" x14ac:dyDescent="0.3">
      <c r="A8" s="5">
        <f t="shared" si="0"/>
        <v>7</v>
      </c>
      <c r="B8" s="7" t="s">
        <v>10</v>
      </c>
      <c r="C8" s="8">
        <v>50000</v>
      </c>
      <c r="D8" s="13">
        <v>45746</v>
      </c>
      <c r="F8" s="5">
        <v>7</v>
      </c>
      <c r="G8" s="1" t="s">
        <v>66</v>
      </c>
      <c r="H8" s="8">
        <v>2000</v>
      </c>
      <c r="I8" s="14">
        <v>45796</v>
      </c>
    </row>
    <row r="9" spans="1:17" x14ac:dyDescent="0.3">
      <c r="A9" s="5">
        <f t="shared" si="0"/>
        <v>8</v>
      </c>
      <c r="B9" s="7" t="s">
        <v>11</v>
      </c>
      <c r="C9" s="8">
        <v>5000</v>
      </c>
      <c r="D9" s="13">
        <v>45745</v>
      </c>
      <c r="F9" s="5">
        <v>8</v>
      </c>
      <c r="G9" s="1" t="s">
        <v>67</v>
      </c>
      <c r="H9" s="8">
        <v>3270</v>
      </c>
      <c r="I9" s="14">
        <v>45796</v>
      </c>
    </row>
    <row r="10" spans="1:17" x14ac:dyDescent="0.3">
      <c r="A10" s="5">
        <f t="shared" si="0"/>
        <v>9</v>
      </c>
      <c r="B10" s="7" t="s">
        <v>12</v>
      </c>
      <c r="C10" s="8">
        <v>10000</v>
      </c>
      <c r="D10" s="13">
        <v>45745</v>
      </c>
      <c r="F10" s="5">
        <v>9</v>
      </c>
      <c r="G10" s="1" t="s">
        <v>92</v>
      </c>
      <c r="H10" s="8">
        <v>30000</v>
      </c>
      <c r="I10" s="14">
        <v>45795</v>
      </c>
    </row>
    <row r="11" spans="1:17" x14ac:dyDescent="0.3">
      <c r="A11" s="5">
        <f t="shared" si="0"/>
        <v>10</v>
      </c>
      <c r="B11" s="7" t="s">
        <v>13</v>
      </c>
      <c r="C11" s="8">
        <v>10000</v>
      </c>
      <c r="D11" s="13">
        <v>45745</v>
      </c>
      <c r="F11" s="5">
        <v>10</v>
      </c>
      <c r="G11" s="1" t="s">
        <v>108</v>
      </c>
      <c r="H11" s="8">
        <v>2000</v>
      </c>
      <c r="I11" s="14">
        <v>45795</v>
      </c>
    </row>
    <row r="12" spans="1:17" x14ac:dyDescent="0.3">
      <c r="A12" s="5">
        <f>A11+1</f>
        <v>11</v>
      </c>
      <c r="B12" s="7" t="s">
        <v>15</v>
      </c>
      <c r="C12" s="8">
        <v>10000</v>
      </c>
      <c r="D12" s="13">
        <v>45743</v>
      </c>
      <c r="F12" s="5">
        <v>11</v>
      </c>
      <c r="G12" s="1" t="s">
        <v>68</v>
      </c>
      <c r="H12" s="8">
        <v>7555</v>
      </c>
      <c r="I12" s="14">
        <v>45792</v>
      </c>
    </row>
    <row r="13" spans="1:17" x14ac:dyDescent="0.3">
      <c r="A13" s="5">
        <f t="shared" ref="A13:A30" si="1">A12+1</f>
        <v>12</v>
      </c>
      <c r="B13" s="7" t="s">
        <v>14</v>
      </c>
      <c r="C13" s="8">
        <v>5000</v>
      </c>
      <c r="D13" s="13">
        <v>45743</v>
      </c>
      <c r="F13" s="5">
        <v>12</v>
      </c>
      <c r="G13" s="1" t="s">
        <v>48</v>
      </c>
      <c r="H13" s="8">
        <v>219</v>
      </c>
      <c r="I13" s="14">
        <v>45790</v>
      </c>
    </row>
    <row r="14" spans="1:17" x14ac:dyDescent="0.3">
      <c r="A14" s="5">
        <f t="shared" si="1"/>
        <v>13</v>
      </c>
      <c r="B14" s="7" t="s">
        <v>16</v>
      </c>
      <c r="C14" s="8">
        <v>5000</v>
      </c>
      <c r="D14" s="13">
        <v>45743</v>
      </c>
      <c r="F14" s="5">
        <v>13</v>
      </c>
      <c r="G14" s="1" t="s">
        <v>69</v>
      </c>
      <c r="H14" s="8">
        <v>1850</v>
      </c>
      <c r="I14" s="14">
        <v>45788</v>
      </c>
    </row>
    <row r="15" spans="1:17" x14ac:dyDescent="0.3">
      <c r="A15" s="5">
        <f t="shared" si="1"/>
        <v>14</v>
      </c>
      <c r="B15" s="7" t="s">
        <v>17</v>
      </c>
      <c r="C15" s="8">
        <v>5000</v>
      </c>
      <c r="D15" s="13">
        <v>45743</v>
      </c>
      <c r="F15" s="5">
        <v>14</v>
      </c>
      <c r="G15" s="1" t="s">
        <v>70</v>
      </c>
      <c r="H15" s="8">
        <v>5000</v>
      </c>
      <c r="I15" s="14">
        <v>45788</v>
      </c>
      <c r="P15" s="23"/>
    </row>
    <row r="16" spans="1:17" x14ac:dyDescent="0.3">
      <c r="A16" s="5">
        <f t="shared" si="1"/>
        <v>15</v>
      </c>
      <c r="B16" s="7" t="s">
        <v>18</v>
      </c>
      <c r="C16" s="8">
        <v>10000</v>
      </c>
      <c r="D16" s="13">
        <v>45742</v>
      </c>
      <c r="F16" s="5">
        <v>15</v>
      </c>
      <c r="G16" s="1" t="s">
        <v>72</v>
      </c>
      <c r="H16" s="8">
        <v>2000</v>
      </c>
      <c r="I16" s="14">
        <v>45797</v>
      </c>
    </row>
    <row r="17" spans="1:9" x14ac:dyDescent="0.3">
      <c r="A17" s="5">
        <f t="shared" si="1"/>
        <v>16</v>
      </c>
      <c r="B17" s="7" t="s">
        <v>19</v>
      </c>
      <c r="C17" s="8">
        <v>15000</v>
      </c>
      <c r="D17" s="13">
        <v>45745</v>
      </c>
      <c r="F17" s="5">
        <v>16</v>
      </c>
      <c r="G17" s="1" t="s">
        <v>75</v>
      </c>
      <c r="H17" s="8">
        <v>1000</v>
      </c>
      <c r="I17" s="14">
        <v>45801</v>
      </c>
    </row>
    <row r="18" spans="1:9" x14ac:dyDescent="0.3">
      <c r="A18" s="5">
        <f t="shared" si="1"/>
        <v>17</v>
      </c>
      <c r="B18" s="7" t="s">
        <v>3</v>
      </c>
      <c r="C18" s="8">
        <v>10000</v>
      </c>
      <c r="D18" s="13">
        <v>45742</v>
      </c>
      <c r="F18" s="5">
        <v>17</v>
      </c>
      <c r="G18" s="1" t="s">
        <v>76</v>
      </c>
      <c r="H18" s="8">
        <v>3300</v>
      </c>
      <c r="I18" s="14">
        <v>45801</v>
      </c>
    </row>
    <row r="19" spans="1:9" x14ac:dyDescent="0.3">
      <c r="A19" s="5">
        <f t="shared" si="1"/>
        <v>18</v>
      </c>
      <c r="B19" s="7" t="s">
        <v>24</v>
      </c>
      <c r="C19" s="8">
        <v>5000</v>
      </c>
      <c r="D19" s="13">
        <v>45752</v>
      </c>
      <c r="F19" s="5">
        <v>18</v>
      </c>
      <c r="G19" s="1" t="s">
        <v>77</v>
      </c>
      <c r="H19" s="8">
        <v>1000</v>
      </c>
      <c r="I19" s="14">
        <v>45801</v>
      </c>
    </row>
    <row r="20" spans="1:9" x14ac:dyDescent="0.3">
      <c r="A20" s="5">
        <f t="shared" si="1"/>
        <v>19</v>
      </c>
      <c r="B20" s="7" t="s">
        <v>25</v>
      </c>
      <c r="C20" s="8">
        <v>5000</v>
      </c>
      <c r="D20" s="13">
        <v>45752</v>
      </c>
      <c r="F20" s="5">
        <v>19</v>
      </c>
      <c r="G20" s="1" t="s">
        <v>78</v>
      </c>
      <c r="H20" s="8">
        <v>1500</v>
      </c>
      <c r="I20" s="14">
        <v>45801</v>
      </c>
    </row>
    <row r="21" spans="1:9" x14ac:dyDescent="0.3">
      <c r="A21" s="5">
        <f t="shared" si="1"/>
        <v>20</v>
      </c>
      <c r="B21" s="7" t="s">
        <v>27</v>
      </c>
      <c r="C21" s="8">
        <v>5000</v>
      </c>
      <c r="D21" s="13">
        <v>45752</v>
      </c>
      <c r="F21" s="5">
        <v>20</v>
      </c>
      <c r="G21" s="1" t="s">
        <v>79</v>
      </c>
      <c r="H21" s="8">
        <v>3850</v>
      </c>
      <c r="I21" s="14">
        <v>45803</v>
      </c>
    </row>
    <row r="22" spans="1:9" x14ac:dyDescent="0.3">
      <c r="A22" s="5">
        <f t="shared" si="1"/>
        <v>21</v>
      </c>
      <c r="B22" s="15" t="s">
        <v>30</v>
      </c>
      <c r="C22" s="16">
        <v>10000</v>
      </c>
      <c r="D22" s="13">
        <v>45753</v>
      </c>
      <c r="F22" s="5">
        <v>21</v>
      </c>
      <c r="G22" s="1" t="s">
        <v>93</v>
      </c>
      <c r="H22" s="8">
        <v>2000</v>
      </c>
      <c r="I22" s="14">
        <v>45802</v>
      </c>
    </row>
    <row r="23" spans="1:9" x14ac:dyDescent="0.3">
      <c r="A23" s="5">
        <f t="shared" si="1"/>
        <v>22</v>
      </c>
      <c r="B23" s="17" t="s">
        <v>29</v>
      </c>
      <c r="C23" s="8">
        <v>7000</v>
      </c>
      <c r="D23" s="13">
        <v>45753</v>
      </c>
      <c r="F23" s="5">
        <v>22</v>
      </c>
      <c r="G23" s="1" t="s">
        <v>80</v>
      </c>
      <c r="H23" s="8">
        <v>2095</v>
      </c>
      <c r="I23" s="14">
        <v>45799</v>
      </c>
    </row>
    <row r="24" spans="1:9" x14ac:dyDescent="0.3">
      <c r="A24" s="5">
        <f t="shared" si="1"/>
        <v>23</v>
      </c>
      <c r="B24" s="17" t="s">
        <v>31</v>
      </c>
      <c r="C24" s="8">
        <v>10000</v>
      </c>
      <c r="D24" s="13">
        <v>45754</v>
      </c>
      <c r="F24" s="5">
        <v>23</v>
      </c>
      <c r="G24" s="1" t="s">
        <v>94</v>
      </c>
      <c r="H24" s="8">
        <v>800</v>
      </c>
      <c r="I24" s="14">
        <v>45799</v>
      </c>
    </row>
    <row r="25" spans="1:9" x14ac:dyDescent="0.3">
      <c r="A25" s="5">
        <f t="shared" si="1"/>
        <v>24</v>
      </c>
      <c r="B25" s="7" t="s">
        <v>32</v>
      </c>
      <c r="C25" s="8">
        <v>1000</v>
      </c>
      <c r="D25" s="13">
        <v>45754</v>
      </c>
      <c r="F25" s="5">
        <v>24</v>
      </c>
      <c r="G25" s="1" t="s">
        <v>96</v>
      </c>
      <c r="H25" s="8">
        <v>200</v>
      </c>
      <c r="I25" s="14">
        <v>45801</v>
      </c>
    </row>
    <row r="26" spans="1:9" x14ac:dyDescent="0.3">
      <c r="A26" s="5">
        <f t="shared" si="1"/>
        <v>25</v>
      </c>
      <c r="B26" s="7" t="s">
        <v>33</v>
      </c>
      <c r="C26" s="8">
        <v>10000</v>
      </c>
      <c r="D26" s="13">
        <v>45754</v>
      </c>
      <c r="F26" s="5">
        <v>25</v>
      </c>
      <c r="G26" s="1" t="s">
        <v>102</v>
      </c>
      <c r="H26" s="8">
        <v>380</v>
      </c>
      <c r="I26" s="14">
        <v>45801</v>
      </c>
    </row>
    <row r="27" spans="1:9" x14ac:dyDescent="0.3">
      <c r="A27" s="5">
        <f t="shared" si="1"/>
        <v>26</v>
      </c>
      <c r="B27" s="7" t="s">
        <v>34</v>
      </c>
      <c r="C27" s="8">
        <v>5000</v>
      </c>
      <c r="D27" s="13">
        <v>45755</v>
      </c>
      <c r="F27" s="5">
        <v>26</v>
      </c>
      <c r="G27" s="1" t="s">
        <v>81</v>
      </c>
      <c r="H27" s="8">
        <v>28000</v>
      </c>
      <c r="I27" s="14">
        <v>45799</v>
      </c>
    </row>
    <row r="28" spans="1:9" x14ac:dyDescent="0.3">
      <c r="A28" s="5">
        <f t="shared" si="1"/>
        <v>27</v>
      </c>
      <c r="B28" s="7" t="s">
        <v>35</v>
      </c>
      <c r="C28" s="8">
        <v>5000</v>
      </c>
      <c r="D28" s="13">
        <v>45755</v>
      </c>
      <c r="F28" s="5">
        <v>27</v>
      </c>
      <c r="G28" s="1" t="s">
        <v>82</v>
      </c>
      <c r="H28" s="8">
        <v>1500</v>
      </c>
      <c r="I28" s="14">
        <v>45801</v>
      </c>
    </row>
    <row r="29" spans="1:9" x14ac:dyDescent="0.3">
      <c r="A29" s="5">
        <f t="shared" si="1"/>
        <v>28</v>
      </c>
      <c r="B29" s="7" t="s">
        <v>36</v>
      </c>
      <c r="C29" s="8">
        <v>7000</v>
      </c>
      <c r="D29" s="13">
        <v>45756</v>
      </c>
      <c r="F29" s="5">
        <v>28</v>
      </c>
      <c r="G29" s="1" t="s">
        <v>83</v>
      </c>
      <c r="H29" s="8">
        <v>23500</v>
      </c>
      <c r="I29" s="14">
        <v>45799</v>
      </c>
    </row>
    <row r="30" spans="1:9" x14ac:dyDescent="0.3">
      <c r="A30" s="5">
        <f t="shared" si="1"/>
        <v>29</v>
      </c>
      <c r="B30" s="1" t="s">
        <v>37</v>
      </c>
      <c r="C30" s="8">
        <v>10000</v>
      </c>
      <c r="D30" s="13">
        <v>45756</v>
      </c>
      <c r="F30" s="5">
        <v>29</v>
      </c>
      <c r="G30" s="1" t="s">
        <v>89</v>
      </c>
      <c r="H30" s="8">
        <v>500</v>
      </c>
      <c r="I30" s="14">
        <v>45800</v>
      </c>
    </row>
    <row r="31" spans="1:9" x14ac:dyDescent="0.3">
      <c r="A31" s="5">
        <f>A30+1</f>
        <v>30</v>
      </c>
      <c r="B31" s="1" t="s">
        <v>38</v>
      </c>
      <c r="C31" s="8">
        <v>5000</v>
      </c>
      <c r="D31" s="13">
        <v>45757</v>
      </c>
      <c r="F31" s="5">
        <v>30</v>
      </c>
      <c r="G31" s="1" t="s">
        <v>84</v>
      </c>
      <c r="H31" s="8">
        <v>20000</v>
      </c>
      <c r="I31" s="14">
        <v>45802</v>
      </c>
    </row>
    <row r="32" spans="1:9" x14ac:dyDescent="0.3">
      <c r="A32" s="5">
        <f t="shared" ref="A32:A36" si="2">A31+1</f>
        <v>31</v>
      </c>
      <c r="B32" s="1" t="s">
        <v>39</v>
      </c>
      <c r="C32" s="8">
        <v>5000</v>
      </c>
      <c r="D32" s="13">
        <v>45757</v>
      </c>
      <c r="F32" s="8">
        <v>31</v>
      </c>
      <c r="G32" s="24" t="s">
        <v>110</v>
      </c>
      <c r="H32" s="8">
        <v>645</v>
      </c>
      <c r="I32" s="14">
        <v>45802</v>
      </c>
    </row>
    <row r="33" spans="1:10" x14ac:dyDescent="0.3">
      <c r="A33" s="5">
        <f t="shared" si="2"/>
        <v>32</v>
      </c>
      <c r="B33" s="1" t="s">
        <v>41</v>
      </c>
      <c r="C33" s="8">
        <v>10000</v>
      </c>
      <c r="D33" s="13">
        <v>45759</v>
      </c>
      <c r="F33" s="5">
        <v>32</v>
      </c>
      <c r="G33" s="1" t="s">
        <v>86</v>
      </c>
      <c r="H33" s="8">
        <v>9220</v>
      </c>
      <c r="I33" s="14">
        <v>45800</v>
      </c>
    </row>
    <row r="34" spans="1:10" x14ac:dyDescent="0.3">
      <c r="A34" s="5">
        <f t="shared" si="2"/>
        <v>33</v>
      </c>
      <c r="B34" s="1" t="s">
        <v>42</v>
      </c>
      <c r="C34" s="8">
        <v>10000</v>
      </c>
      <c r="D34" s="13">
        <v>45760</v>
      </c>
      <c r="F34" s="5">
        <v>33</v>
      </c>
      <c r="G34" s="1" t="s">
        <v>99</v>
      </c>
      <c r="H34" s="8">
        <v>11588</v>
      </c>
      <c r="I34" s="8" t="s">
        <v>98</v>
      </c>
    </row>
    <row r="35" spans="1:10" x14ac:dyDescent="0.3">
      <c r="A35" s="5">
        <f t="shared" si="2"/>
        <v>34</v>
      </c>
      <c r="B35" s="1" t="s">
        <v>43</v>
      </c>
      <c r="C35" s="8">
        <v>15000</v>
      </c>
      <c r="D35" s="13">
        <v>45760</v>
      </c>
      <c r="F35" s="5">
        <v>34</v>
      </c>
      <c r="G35" s="1" t="s">
        <v>100</v>
      </c>
      <c r="H35" s="8">
        <v>400</v>
      </c>
      <c r="I35" s="14">
        <v>45800</v>
      </c>
    </row>
    <row r="36" spans="1:10" x14ac:dyDescent="0.3">
      <c r="A36" s="5">
        <f t="shared" si="2"/>
        <v>35</v>
      </c>
      <c r="B36" s="1" t="s">
        <v>44</v>
      </c>
      <c r="C36" s="8">
        <v>8000</v>
      </c>
      <c r="D36" s="13">
        <v>45760</v>
      </c>
      <c r="F36" s="5">
        <v>35</v>
      </c>
      <c r="G36" s="1" t="s">
        <v>87</v>
      </c>
      <c r="H36" s="8">
        <v>100</v>
      </c>
      <c r="I36" s="14">
        <v>45800</v>
      </c>
    </row>
    <row r="37" spans="1:10" x14ac:dyDescent="0.3">
      <c r="A37" s="5">
        <f>A36+1</f>
        <v>36</v>
      </c>
      <c r="B37" s="1" t="s">
        <v>45</v>
      </c>
      <c r="C37" s="5">
        <v>25000</v>
      </c>
      <c r="D37" s="13">
        <v>45761</v>
      </c>
      <c r="F37" s="5">
        <f>F36+1</f>
        <v>36</v>
      </c>
      <c r="G37" s="1" t="s">
        <v>88</v>
      </c>
      <c r="H37" s="8">
        <v>400</v>
      </c>
      <c r="I37" s="14">
        <v>45800</v>
      </c>
    </row>
    <row r="38" spans="1:10" x14ac:dyDescent="0.3">
      <c r="A38" s="5">
        <f t="shared" ref="A38:A57" si="3">A37+1</f>
        <v>37</v>
      </c>
      <c r="B38" s="1" t="s">
        <v>46</v>
      </c>
      <c r="C38" s="5">
        <v>10000</v>
      </c>
      <c r="D38" s="13">
        <v>45762</v>
      </c>
      <c r="F38" s="5">
        <f t="shared" ref="F38:F43" si="4">F37+1</f>
        <v>37</v>
      </c>
      <c r="G38" s="1" t="s">
        <v>101</v>
      </c>
      <c r="H38" s="8">
        <v>600</v>
      </c>
      <c r="I38" s="14">
        <v>45801</v>
      </c>
    </row>
    <row r="39" spans="1:10" x14ac:dyDescent="0.3">
      <c r="A39" s="5">
        <f t="shared" si="3"/>
        <v>38</v>
      </c>
      <c r="B39" s="1" t="s">
        <v>47</v>
      </c>
      <c r="C39" s="5">
        <v>8000</v>
      </c>
      <c r="D39" s="13">
        <v>45766</v>
      </c>
      <c r="F39" s="5">
        <f t="shared" si="4"/>
        <v>38</v>
      </c>
      <c r="G39" s="1" t="s">
        <v>85</v>
      </c>
      <c r="H39" s="8">
        <v>1200</v>
      </c>
      <c r="I39" s="14">
        <v>45802</v>
      </c>
    </row>
    <row r="40" spans="1:10" x14ac:dyDescent="0.3">
      <c r="A40" s="5">
        <f t="shared" si="3"/>
        <v>39</v>
      </c>
      <c r="B40" s="1" t="s">
        <v>49</v>
      </c>
      <c r="C40" s="5">
        <v>6000</v>
      </c>
      <c r="D40" s="13">
        <v>45766</v>
      </c>
      <c r="F40" s="5">
        <f t="shared" si="4"/>
        <v>39</v>
      </c>
      <c r="G40" s="1" t="s">
        <v>90</v>
      </c>
      <c r="H40" s="8">
        <v>2000</v>
      </c>
      <c r="I40" s="14">
        <v>45802</v>
      </c>
    </row>
    <row r="41" spans="1:10" x14ac:dyDescent="0.3">
      <c r="A41" s="5">
        <f t="shared" si="3"/>
        <v>40</v>
      </c>
      <c r="B41" s="1" t="s">
        <v>51</v>
      </c>
      <c r="C41" s="8">
        <v>5000</v>
      </c>
      <c r="D41" s="13">
        <v>45767</v>
      </c>
      <c r="F41" s="5">
        <f t="shared" si="4"/>
        <v>40</v>
      </c>
      <c r="G41" s="1" t="s">
        <v>107</v>
      </c>
      <c r="H41" s="8">
        <v>200</v>
      </c>
      <c r="I41" s="14">
        <v>45800</v>
      </c>
    </row>
    <row r="42" spans="1:10" x14ac:dyDescent="0.3">
      <c r="A42" s="5">
        <f t="shared" si="3"/>
        <v>41</v>
      </c>
      <c r="B42" s="1" t="s">
        <v>50</v>
      </c>
      <c r="C42" s="5">
        <v>5000</v>
      </c>
      <c r="D42" s="13">
        <v>45767</v>
      </c>
      <c r="F42" s="5">
        <f t="shared" si="4"/>
        <v>41</v>
      </c>
      <c r="G42" s="1" t="s">
        <v>95</v>
      </c>
      <c r="H42" s="8">
        <v>15950</v>
      </c>
      <c r="I42" s="14">
        <v>45802</v>
      </c>
    </row>
    <row r="43" spans="1:10" x14ac:dyDescent="0.3">
      <c r="A43" s="5">
        <f t="shared" si="3"/>
        <v>42</v>
      </c>
      <c r="B43" s="1" t="s">
        <v>52</v>
      </c>
      <c r="C43" s="5">
        <v>5000</v>
      </c>
      <c r="D43" s="13">
        <v>45768</v>
      </c>
      <c r="F43" s="5">
        <f t="shared" si="4"/>
        <v>42</v>
      </c>
      <c r="G43" s="1" t="s">
        <v>104</v>
      </c>
      <c r="H43" s="8">
        <v>100</v>
      </c>
      <c r="I43" s="14">
        <v>45800</v>
      </c>
      <c r="J43" s="10">
        <f>SUM(H2:H50)</f>
        <v>307723</v>
      </c>
    </row>
    <row r="44" spans="1:10" x14ac:dyDescent="0.3">
      <c r="A44" s="5">
        <f t="shared" si="3"/>
        <v>43</v>
      </c>
      <c r="B44" s="1" t="s">
        <v>53</v>
      </c>
      <c r="C44" s="5">
        <v>2500</v>
      </c>
      <c r="D44" s="13">
        <v>45769</v>
      </c>
      <c r="F44" s="5">
        <v>43</v>
      </c>
      <c r="G44" s="1" t="s">
        <v>97</v>
      </c>
      <c r="H44" s="8">
        <v>57500</v>
      </c>
      <c r="I44" s="14">
        <v>45802</v>
      </c>
    </row>
    <row r="45" spans="1:10" x14ac:dyDescent="0.3">
      <c r="A45" s="5">
        <f t="shared" si="3"/>
        <v>44</v>
      </c>
      <c r="B45" s="1" t="s">
        <v>54</v>
      </c>
      <c r="C45" s="5">
        <v>5000</v>
      </c>
      <c r="D45" s="13">
        <v>45770</v>
      </c>
      <c r="F45" s="5">
        <v>44</v>
      </c>
      <c r="G45" s="1" t="s">
        <v>105</v>
      </c>
      <c r="H45" s="8">
        <v>10249</v>
      </c>
      <c r="I45" s="14">
        <v>45801</v>
      </c>
    </row>
    <row r="46" spans="1:10" x14ac:dyDescent="0.3">
      <c r="A46" s="5">
        <f t="shared" si="3"/>
        <v>45</v>
      </c>
      <c r="B46" s="1" t="s">
        <v>55</v>
      </c>
      <c r="C46" s="5">
        <v>15000</v>
      </c>
      <c r="D46" s="13">
        <v>45771</v>
      </c>
      <c r="F46" s="5">
        <v>45</v>
      </c>
      <c r="G46" s="1" t="s">
        <v>106</v>
      </c>
      <c r="H46" s="8">
        <v>659</v>
      </c>
      <c r="I46" s="14">
        <v>45802</v>
      </c>
    </row>
    <row r="47" spans="1:10" x14ac:dyDescent="0.3">
      <c r="A47" s="5">
        <f t="shared" si="3"/>
        <v>46</v>
      </c>
      <c r="B47" s="1" t="s">
        <v>54</v>
      </c>
      <c r="C47" s="5">
        <v>10000</v>
      </c>
      <c r="D47" s="13">
        <v>45772</v>
      </c>
      <c r="F47" s="5"/>
      <c r="G47" s="1"/>
      <c r="H47" s="8"/>
      <c r="I47" s="8"/>
    </row>
    <row r="48" spans="1:10" x14ac:dyDescent="0.3">
      <c r="A48" s="5">
        <f t="shared" si="3"/>
        <v>47</v>
      </c>
      <c r="B48" s="1" t="s">
        <v>58</v>
      </c>
      <c r="C48" s="5">
        <v>5000</v>
      </c>
      <c r="D48" s="13">
        <v>45779</v>
      </c>
      <c r="F48" s="5"/>
      <c r="G48" s="1"/>
      <c r="H48" s="8"/>
      <c r="I48" s="8"/>
    </row>
    <row r="49" spans="1:9" x14ac:dyDescent="0.3">
      <c r="A49" s="5">
        <f t="shared" si="3"/>
        <v>48</v>
      </c>
      <c r="B49" s="1" t="s">
        <v>57</v>
      </c>
      <c r="C49" s="8">
        <v>10000</v>
      </c>
      <c r="D49" s="13">
        <v>45783</v>
      </c>
      <c r="G49" s="1"/>
      <c r="H49" s="8"/>
      <c r="I49" s="8"/>
    </row>
    <row r="50" spans="1:9" x14ac:dyDescent="0.3">
      <c r="A50" s="5">
        <f t="shared" si="3"/>
        <v>49</v>
      </c>
      <c r="B50" s="1" t="s">
        <v>56</v>
      </c>
      <c r="C50" s="8">
        <v>2500</v>
      </c>
      <c r="D50" s="13">
        <v>45784</v>
      </c>
      <c r="F50" s="5"/>
      <c r="G50" s="1"/>
      <c r="H50" s="8"/>
      <c r="I50" s="8"/>
    </row>
    <row r="51" spans="1:9" x14ac:dyDescent="0.3">
      <c r="A51" s="5">
        <f t="shared" si="3"/>
        <v>50</v>
      </c>
      <c r="B51" s="1" t="s">
        <v>60</v>
      </c>
      <c r="C51" s="8">
        <v>8001</v>
      </c>
      <c r="D51" s="13">
        <v>45784</v>
      </c>
      <c r="F51" s="5"/>
      <c r="G51" s="1"/>
      <c r="H51" s="8"/>
      <c r="I51" s="8"/>
    </row>
    <row r="52" spans="1:9" x14ac:dyDescent="0.3">
      <c r="A52" s="5">
        <f t="shared" si="3"/>
        <v>51</v>
      </c>
      <c r="B52" s="1" t="s">
        <v>61</v>
      </c>
      <c r="C52" s="8">
        <v>5000</v>
      </c>
      <c r="D52" s="13">
        <v>45784</v>
      </c>
      <c r="F52" s="5"/>
      <c r="G52" s="1"/>
      <c r="H52" s="8"/>
      <c r="I52" s="8"/>
    </row>
    <row r="53" spans="1:9" x14ac:dyDescent="0.3">
      <c r="A53" s="5">
        <f t="shared" si="3"/>
        <v>52</v>
      </c>
      <c r="B53" s="1" t="s">
        <v>62</v>
      </c>
      <c r="C53" s="8">
        <v>3000</v>
      </c>
      <c r="D53" s="13">
        <v>45785</v>
      </c>
      <c r="F53" s="5"/>
      <c r="G53" s="1"/>
      <c r="H53" s="8"/>
      <c r="I53" s="8"/>
    </row>
    <row r="54" spans="1:9" x14ac:dyDescent="0.3">
      <c r="A54" s="5">
        <f>A53+1</f>
        <v>53</v>
      </c>
      <c r="B54" s="1" t="s">
        <v>63</v>
      </c>
      <c r="C54" s="8">
        <v>10000</v>
      </c>
      <c r="D54" s="21">
        <v>45790</v>
      </c>
      <c r="F54" s="19"/>
      <c r="G54" s="1"/>
      <c r="H54" s="8"/>
      <c r="I54" s="8"/>
    </row>
    <row r="55" spans="1:9" x14ac:dyDescent="0.3">
      <c r="A55" s="5">
        <f t="shared" si="3"/>
        <v>54</v>
      </c>
      <c r="B55" s="1" t="s">
        <v>64</v>
      </c>
      <c r="C55" s="5">
        <v>5000</v>
      </c>
      <c r="D55" s="13">
        <v>45790</v>
      </c>
      <c r="E55" s="1"/>
      <c r="F55" s="1"/>
      <c r="H55" s="8"/>
      <c r="I55" s="8"/>
    </row>
    <row r="56" spans="1:9" x14ac:dyDescent="0.3">
      <c r="A56" s="5">
        <f t="shared" si="3"/>
        <v>55</v>
      </c>
      <c r="B56" s="1" t="s">
        <v>65</v>
      </c>
      <c r="C56" s="5">
        <v>10000</v>
      </c>
      <c r="D56" s="22">
        <v>45790</v>
      </c>
      <c r="F56" s="20"/>
      <c r="G56" s="1"/>
      <c r="H56" s="8"/>
      <c r="I56" s="8"/>
    </row>
    <row r="57" spans="1:9" x14ac:dyDescent="0.3">
      <c r="A57" s="5">
        <f t="shared" si="3"/>
        <v>56</v>
      </c>
      <c r="B57" s="1" t="s">
        <v>103</v>
      </c>
      <c r="C57" s="8">
        <v>5000</v>
      </c>
      <c r="D57" s="13">
        <v>45761</v>
      </c>
      <c r="F57" s="5"/>
      <c r="G57" s="1"/>
      <c r="H57" s="8"/>
      <c r="I57" s="8"/>
    </row>
    <row r="58" spans="1:9" x14ac:dyDescent="0.3">
      <c r="A58" s="5"/>
      <c r="B58" s="1"/>
      <c r="C58" s="1"/>
      <c r="D58" s="7"/>
      <c r="F58" s="5"/>
      <c r="G58" s="1"/>
      <c r="H58" s="8"/>
      <c r="I58" s="8"/>
    </row>
    <row r="59" spans="1:9" x14ac:dyDescent="0.3">
      <c r="A59" s="5"/>
      <c r="B59" s="1"/>
      <c r="C59" s="1"/>
      <c r="D59" s="7"/>
      <c r="F59" s="5"/>
      <c r="G59" s="1"/>
      <c r="H59" s="8"/>
      <c r="I59" s="8"/>
    </row>
    <row r="60" spans="1:9" x14ac:dyDescent="0.3">
      <c r="A60" s="5"/>
      <c r="B60" s="1"/>
      <c r="C60" s="1"/>
      <c r="D60" s="18">
        <f>SUM(C2:C59)</f>
        <v>511001</v>
      </c>
      <c r="E60" t="s">
        <v>73</v>
      </c>
      <c r="F60" s="5"/>
      <c r="G60" s="1"/>
      <c r="H60" s="8"/>
      <c r="I60" s="8"/>
    </row>
    <row r="61" spans="1:9" x14ac:dyDescent="0.3">
      <c r="A61" s="5"/>
      <c r="B61" s="1"/>
      <c r="C61" s="1"/>
      <c r="D61" s="7"/>
      <c r="F61" s="5"/>
      <c r="G61" s="1"/>
      <c r="H61" s="8"/>
      <c r="I61" s="8"/>
    </row>
    <row r="62" spans="1:9" x14ac:dyDescent="0.3">
      <c r="A62" s="5"/>
      <c r="B62" s="1"/>
      <c r="C62" s="1"/>
      <c r="D62" s="7"/>
      <c r="F62" s="5"/>
      <c r="G62" s="1"/>
      <c r="H62" s="8"/>
      <c r="I62" s="8"/>
    </row>
    <row r="63" spans="1:9" x14ac:dyDescent="0.3">
      <c r="A63" s="5"/>
      <c r="B63" s="1"/>
      <c r="C63" s="1"/>
      <c r="D63" s="7"/>
      <c r="F63" s="5"/>
      <c r="G63" s="1"/>
      <c r="H63" s="8"/>
      <c r="I63" s="8"/>
    </row>
    <row r="64" spans="1:9" x14ac:dyDescent="0.3">
      <c r="A64" s="5"/>
      <c r="B64" s="1"/>
      <c r="C64" s="1"/>
      <c r="D64" s="7"/>
      <c r="F64" s="5"/>
      <c r="G64" s="1"/>
      <c r="H64" s="8"/>
      <c r="I64" s="8"/>
    </row>
    <row r="65" spans="1:9" x14ac:dyDescent="0.3">
      <c r="A65" s="5"/>
      <c r="B65" s="1"/>
      <c r="C65" s="1"/>
      <c r="D65" s="7"/>
      <c r="F65" s="5"/>
      <c r="G65" s="1"/>
      <c r="H65" s="8"/>
      <c r="I65" s="8"/>
    </row>
    <row r="66" spans="1:9" x14ac:dyDescent="0.3">
      <c r="A66" s="5"/>
      <c r="B66" s="1"/>
      <c r="C66" s="1"/>
      <c r="D66" s="7"/>
      <c r="F66" s="5"/>
      <c r="G66" s="1"/>
      <c r="H66" s="8"/>
      <c r="I66" s="8"/>
    </row>
  </sheetData>
  <mergeCells count="1">
    <mergeCell ref="L2:M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D2E3B-DB12-49C3-8827-2FE7F0A4E3B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Receipts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M</dc:creator>
  <cp:lastModifiedBy>Praveen M</cp:lastModifiedBy>
  <dcterms:created xsi:type="dcterms:W3CDTF">2025-04-05T07:21:03Z</dcterms:created>
  <dcterms:modified xsi:type="dcterms:W3CDTF">2025-05-29T15:53:03Z</dcterms:modified>
</cp:coreProperties>
</file>